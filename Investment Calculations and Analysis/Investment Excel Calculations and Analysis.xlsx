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rylkhoo/Downloads/"/>
    </mc:Choice>
  </mc:AlternateContent>
  <xr:revisionPtr revIDLastSave="0" documentId="8_{42AD45BC-1F6E-AA47-924D-3118849B4251}" xr6:coauthVersionLast="47" xr6:coauthVersionMax="47" xr10:uidLastSave="{00000000-0000-0000-0000-000000000000}"/>
  <bookViews>
    <workbookView xWindow="0" yWindow="860" windowWidth="34200" windowHeight="20460" tabRatio="505" firstSheet="1" activeTab="1" xr2:uid="{D23CC50C-22C5-4F33-8EA4-F258DB758E0D}"/>
  </bookViews>
  <sheets>
    <sheet name="Group Members Name &amp; Student ID" sheetId="2" r:id="rId1"/>
    <sheet name="Data and Result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1" l="1"/>
  <c r="BF40" i="1"/>
  <c r="BE40" i="1"/>
  <c r="BD40" i="1"/>
  <c r="BC40" i="1"/>
  <c r="BB40" i="1"/>
  <c r="BF22" i="1"/>
  <c r="BE22" i="1"/>
  <c r="BD22" i="1"/>
  <c r="BC22" i="1"/>
  <c r="BB22" i="1"/>
  <c r="BA22" i="1"/>
  <c r="BF4" i="1"/>
  <c r="BE4" i="1"/>
  <c r="BD4" i="1"/>
  <c r="BC4" i="1"/>
  <c r="BB4" i="1"/>
  <c r="BA4" i="1"/>
  <c r="BA52" i="1"/>
  <c r="BB52" i="1"/>
  <c r="BC52" i="1"/>
  <c r="BD52" i="1"/>
  <c r="BE52" i="1"/>
  <c r="BB51" i="1"/>
  <c r="BC51" i="1"/>
  <c r="BD51" i="1"/>
  <c r="BE51" i="1"/>
  <c r="BA51" i="1"/>
  <c r="BA15" i="1"/>
  <c r="BA30" i="1"/>
  <c r="AQ7" i="1"/>
  <c r="T9" i="1"/>
  <c r="BC36" i="1"/>
  <c r="BA12" i="1"/>
  <c r="BE13" i="1"/>
  <c r="BE54" i="1"/>
  <c r="BD54" i="1"/>
  <c r="BC54" i="1"/>
  <c r="BB54" i="1"/>
  <c r="BA54" i="1"/>
  <c r="BE36" i="1"/>
  <c r="BD36" i="1"/>
  <c r="BB36" i="1"/>
  <c r="BA36" i="1"/>
  <c r="BB18" i="1"/>
  <c r="BC18" i="1"/>
  <c r="BD18" i="1"/>
  <c r="BE18" i="1"/>
  <c r="BA18" i="1"/>
  <c r="BB53" i="1"/>
  <c r="BC53" i="1"/>
  <c r="BD53" i="1"/>
  <c r="BE53" i="1"/>
  <c r="BA53" i="1"/>
  <c r="BB35" i="1"/>
  <c r="BC35" i="1"/>
  <c r="BD35" i="1"/>
  <c r="BE35" i="1"/>
  <c r="BA35" i="1"/>
  <c r="BB34" i="1"/>
  <c r="BC34" i="1"/>
  <c r="BD34" i="1"/>
  <c r="BE34" i="1"/>
  <c r="BA34" i="1"/>
  <c r="BB33" i="1"/>
  <c r="BC33" i="1"/>
  <c r="BD33" i="1"/>
  <c r="BE33" i="1"/>
  <c r="BA33" i="1"/>
  <c r="BB17" i="1"/>
  <c r="BC17" i="1"/>
  <c r="BD17" i="1"/>
  <c r="BE17" i="1"/>
  <c r="BA17" i="1"/>
  <c r="BB16" i="1"/>
  <c r="BC16" i="1"/>
  <c r="BD16" i="1"/>
  <c r="BE16" i="1"/>
  <c r="BA16" i="1"/>
  <c r="BB15" i="1"/>
  <c r="BC15" i="1"/>
  <c r="BD15" i="1"/>
  <c r="BE15" i="1"/>
  <c r="BB31" i="1"/>
  <c r="BC31" i="1"/>
  <c r="BD31" i="1"/>
  <c r="BE31" i="1"/>
  <c r="BA31" i="1"/>
  <c r="BB49" i="1"/>
  <c r="BC49" i="1"/>
  <c r="BD49" i="1"/>
  <c r="BE49" i="1"/>
  <c r="BA49" i="1"/>
  <c r="BB30" i="1"/>
  <c r="BC30" i="1"/>
  <c r="BD30" i="1"/>
  <c r="BE30" i="1"/>
  <c r="BB48" i="1"/>
  <c r="BC48" i="1"/>
  <c r="BD48" i="1"/>
  <c r="BE48" i="1"/>
  <c r="BA48" i="1"/>
  <c r="BB13" i="1"/>
  <c r="BC13" i="1"/>
  <c r="BD13" i="1"/>
  <c r="BA13" i="1"/>
  <c r="BE12" i="1"/>
  <c r="BB12" i="1"/>
  <c r="BC12" i="1"/>
  <c r="BD12" i="1"/>
  <c r="AS7" i="1"/>
  <c r="AS8" i="1"/>
  <c r="AS9" i="1"/>
  <c r="AX6" i="1" s="1"/>
  <c r="BA50" i="1" s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X7" i="1" s="1"/>
  <c r="BB50" i="1" s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X8" i="1" s="1"/>
  <c r="BC50" i="1" s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X9" i="1" s="1"/>
  <c r="BD50" i="1" s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X10" i="1" s="1"/>
  <c r="BE50" i="1" s="1"/>
  <c r="AS58" i="1"/>
  <c r="AS59" i="1"/>
  <c r="AS60" i="1"/>
  <c r="AS61" i="1"/>
  <c r="AS62" i="1"/>
  <c r="AS63" i="1"/>
  <c r="AS64" i="1"/>
  <c r="AS65" i="1"/>
  <c r="AS6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W6" i="1" s="1"/>
  <c r="BA32" i="1" s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W7" i="1" s="1"/>
  <c r="BB32" i="1" s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W8" i="1" s="1"/>
  <c r="BC32" i="1" s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W9" i="1" s="1"/>
  <c r="BD32" i="1" s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W10" i="1" s="1"/>
  <c r="BE32" i="1" s="1"/>
  <c r="AQ8" i="1"/>
  <c r="AQ9" i="1"/>
  <c r="AQ10" i="1"/>
  <c r="AQ11" i="1"/>
  <c r="AQ12" i="1"/>
  <c r="AQ13" i="1"/>
  <c r="AQ14" i="1"/>
  <c r="AQ15" i="1"/>
  <c r="AQ16" i="1"/>
  <c r="AQ17" i="1"/>
  <c r="AQ18" i="1"/>
  <c r="AV6" i="1" s="1"/>
  <c r="BA14" i="1" s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V7" i="1" s="1"/>
  <c r="BB14" i="1" s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V8" i="1" s="1"/>
  <c r="BC14" i="1" s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V9" i="1" s="1"/>
  <c r="BD14" i="1" s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V10" i="1" s="1"/>
  <c r="BE14" i="1" s="1"/>
  <c r="U6" i="1"/>
  <c r="U5" i="1"/>
  <c r="O8" i="1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7" i="1"/>
  <c r="V6" i="1"/>
  <c r="V5" i="1"/>
  <c r="T6" i="1"/>
  <c r="T5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7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7" i="1"/>
  <c r="N7" i="1"/>
  <c r="U13" i="1" l="1"/>
  <c r="AC7" i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C63" i="1" s="1"/>
  <c r="AC64" i="1" s="1"/>
  <c r="AC65" i="1" s="1"/>
  <c r="AC66" i="1" s="1"/>
  <c r="V10" i="1"/>
  <c r="V9" i="1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V12" i="1"/>
  <c r="Z7" i="1"/>
  <c r="Z8" i="1" s="1"/>
  <c r="T10" i="1"/>
  <c r="T8" i="1"/>
  <c r="AA7" i="1"/>
  <c r="AA8" i="1" s="1"/>
  <c r="AA9" i="1" s="1"/>
  <c r="AA10" i="1" s="1"/>
  <c r="AA11" i="1" s="1"/>
  <c r="AA12" i="1" s="1"/>
  <c r="AA13" i="1" s="1"/>
  <c r="U10" i="1"/>
  <c r="U9" i="1"/>
  <c r="U7" i="1"/>
  <c r="T13" i="1"/>
  <c r="V7" i="1"/>
  <c r="AA14" i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V13" i="1"/>
  <c r="V14" i="1" s="1"/>
  <c r="Z9" i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U8" i="1"/>
  <c r="T7" i="1"/>
  <c r="V8" i="1"/>
  <c r="T11" i="1" l="1"/>
  <c r="U11" i="1"/>
  <c r="U12" i="1"/>
  <c r="U14" i="1"/>
  <c r="T12" i="1"/>
  <c r="T14" i="1"/>
</calcChain>
</file>

<file path=xl/sharedStrings.xml><?xml version="1.0" encoding="utf-8"?>
<sst xmlns="http://schemas.openxmlformats.org/spreadsheetml/2006/main" count="184" uniqueCount="72">
  <si>
    <t>Student Names</t>
  </si>
  <si>
    <t>Student ID</t>
  </si>
  <si>
    <t xml:space="preserve">Sheryl Khoo Zoe Ee </t>
  </si>
  <si>
    <t xml:space="preserve">Melanie Ng Hui Nie </t>
  </si>
  <si>
    <t>Wong Wey En</t>
  </si>
  <si>
    <t>Loo Jia Xuan</t>
  </si>
  <si>
    <t>Zoe Yow Cui Yi</t>
  </si>
  <si>
    <t>Data</t>
  </si>
  <si>
    <t>Part 1(a)(i): Monthly Returns</t>
  </si>
  <si>
    <t>Part 1(a)(ii), (iii), (iv), (v), (vi), (vii), (viii), and Part 1(b): Risk and Return Analysis</t>
  </si>
  <si>
    <t>Part 1(c): Value of RM1 Investment At The End of December 2019</t>
  </si>
  <si>
    <t>Part 1(d): Market Capitalization</t>
  </si>
  <si>
    <t>Part 1(d): Market Capitalization - Fiscal Year End Date</t>
  </si>
  <si>
    <t xml:space="preserve">Part 1(e)(i) and (ii): Historical Financial Ratio Analysis </t>
  </si>
  <si>
    <t>Selected Stock</t>
  </si>
  <si>
    <t>Competitor Stock 1</t>
  </si>
  <si>
    <t>Competitor Stock 2</t>
  </si>
  <si>
    <t xml:space="preserve">Stock Market Index </t>
  </si>
  <si>
    <t xml:space="preserve">Selected Stock </t>
  </si>
  <si>
    <t>NESTLE (MALAYSIA)</t>
  </si>
  <si>
    <t>DUTCH LADY MILK</t>
  </si>
  <si>
    <t>ORIENTAL FOOD INDS.HDG.</t>
  </si>
  <si>
    <t>FTSE Bursa Malaysia KLCI Index</t>
  </si>
  <si>
    <t>L:NEST</t>
  </si>
  <si>
    <t>L:DUBM</t>
  </si>
  <si>
    <t>L:ORFO</t>
  </si>
  <si>
    <t>FBMKLCI</t>
  </si>
  <si>
    <t xml:space="preserve">Part 1(c) Following the guidelines, show one line graph on the value of the investment for the Selected Stock, its two main Competitor Stock and the Stock Market Index here </t>
  </si>
  <si>
    <t>Fiscal Month Stock Price (RM)</t>
  </si>
  <si>
    <t>Months</t>
  </si>
  <si>
    <t>Date</t>
  </si>
  <si>
    <t>Stock Price (RM)</t>
  </si>
  <si>
    <t>Price Index (RM)</t>
  </si>
  <si>
    <t>Number of Shares Outstanding</t>
  </si>
  <si>
    <t>Returns</t>
  </si>
  <si>
    <t>Part 1(a)(ii)</t>
  </si>
  <si>
    <t>5-Year High Price</t>
  </si>
  <si>
    <t>RM</t>
  </si>
  <si>
    <t>Year</t>
  </si>
  <si>
    <t>Earnings Per Share (EPS) (RM)</t>
  </si>
  <si>
    <t>Part 1(a)(iii)</t>
  </si>
  <si>
    <t>5-Year Low Price</t>
  </si>
  <si>
    <t>Net Income (RM)</t>
  </si>
  <si>
    <t>Part 1(a)(iv)</t>
  </si>
  <si>
    <t>Monthly Average Returns</t>
  </si>
  <si>
    <t>Revenue or Sales (RM)</t>
  </si>
  <si>
    <t>Part 1(a)(v)</t>
  </si>
  <si>
    <t>Monthly Volatility</t>
  </si>
  <si>
    <t>Total Assets (RM)</t>
  </si>
  <si>
    <t>Part 1(a)(vi)</t>
  </si>
  <si>
    <t>Annualised Average Returns</t>
  </si>
  <si>
    <t>Total Shareholder Equity (RM)</t>
  </si>
  <si>
    <t>Part 1(a)(vii)</t>
  </si>
  <si>
    <t>Annualised Volatility</t>
  </si>
  <si>
    <t>Part 1(a)(viii)</t>
  </si>
  <si>
    <t>Coefficient of Variation</t>
  </si>
  <si>
    <t>Calculation</t>
  </si>
  <si>
    <t>Part 1(b)</t>
  </si>
  <si>
    <t xml:space="preserve">Covariance </t>
  </si>
  <si>
    <t>Average Total Assets</t>
  </si>
  <si>
    <t>Variance</t>
  </si>
  <si>
    <t>Average Shareholder Equity</t>
  </si>
  <si>
    <t xml:space="preserve">Beta </t>
  </si>
  <si>
    <t>Price-to-Earnings (P/E) Ratio</t>
  </si>
  <si>
    <t>Net Profit Margin</t>
  </si>
  <si>
    <t>Part 1(b) Put scatter plot for the Selected Stock and its two main Competitor Stock here</t>
  </si>
  <si>
    <t>Asset Turnover</t>
  </si>
  <si>
    <t>Equity Multiplier or Gearing Ratio</t>
  </si>
  <si>
    <t>Return on Equity (ROE) Dupont</t>
  </si>
  <si>
    <t>SELECTED STOCK: NESTLE (MALAYSIA) (L:NEST)</t>
  </si>
  <si>
    <t>COMPETITOR STOCK 1: DUTCH LADY MILK (L:DUBM)</t>
  </si>
  <si>
    <t>COMPETITOR STOCK 2: ORIENTAL FOOD INDS.HDG. (L:ORFO)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</si>
</sst>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"/>
    <numFmt numFmtId="166" formatCode="0.000"/>
    <numFmt numFmtId="167" formatCode="0.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5BFD1"/>
        <bgColor indexed="64"/>
      </patternFill>
    </fill>
    <fill>
      <patternFill patternType="solid">
        <fgColor rgb="FFF2E2EF"/>
        <bgColor indexed="64"/>
      </patternFill>
    </fill>
    <fill>
      <patternFill patternType="solid">
        <fgColor rgb="FFB4E0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2" fillId="8" borderId="0" xfId="0" applyFont="1" applyFill="1" applyAlignment="1">
      <alignment horizontal="center"/>
    </xf>
    <xf numFmtId="0" fontId="6" fillId="0" borderId="0" xfId="0" applyFont="1"/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2" fillId="8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3" fillId="6" borderId="0" xfId="0" applyFont="1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9" borderId="0" xfId="0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3" fillId="10" borderId="0" xfId="0" applyFont="1" applyFill="1" applyAlignment="1">
      <alignment horizontal="center" vertical="center"/>
    </xf>
    <xf numFmtId="14" fontId="0" fillId="10" borderId="0" xfId="0" applyNumberForma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0" fillId="12" borderId="0" xfId="0" applyFill="1" applyAlignment="1">
      <alignment vertical="center"/>
    </xf>
    <xf numFmtId="0" fontId="3" fillId="12" borderId="0" xfId="0" applyFont="1" applyFill="1" applyAlignment="1">
      <alignment vertical="center"/>
    </xf>
    <xf numFmtId="14" fontId="0" fillId="9" borderId="0" xfId="0" applyNumberForma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center" vertical="center"/>
    </xf>
    <xf numFmtId="166" fontId="1" fillId="0" borderId="0" xfId="0" applyNumberFormat="1" applyFont="1"/>
    <xf numFmtId="0" fontId="1" fillId="0" borderId="0" xfId="0" applyFont="1"/>
    <xf numFmtId="0" fontId="1" fillId="12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1" fontId="1" fillId="5" borderId="0" xfId="0" applyNumberFormat="1" applyFont="1" applyFill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165" fontId="1" fillId="11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9" borderId="0" xfId="0" applyNumberFormat="1" applyFont="1" applyFill="1" applyAlignment="1">
      <alignment horizontal="center" vertical="center"/>
    </xf>
    <xf numFmtId="165" fontId="1" fillId="9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center"/>
    </xf>
    <xf numFmtId="165" fontId="0" fillId="7" borderId="0" xfId="0" applyNumberForma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166" fontId="8" fillId="7" borderId="0" xfId="0" applyNumberFormat="1" applyFont="1" applyFill="1" applyAlignment="1">
      <alignment horizontal="center"/>
    </xf>
    <xf numFmtId="2" fontId="8" fillId="7" borderId="0" xfId="0" applyNumberFormat="1" applyFont="1" applyFill="1" applyAlignment="1">
      <alignment horizontal="center"/>
    </xf>
    <xf numFmtId="1" fontId="8" fillId="7" borderId="0" xfId="0" applyNumberFormat="1" applyFont="1" applyFill="1" applyAlignment="1">
      <alignment horizontal="center"/>
    </xf>
    <xf numFmtId="166" fontId="9" fillId="7" borderId="0" xfId="0" applyNumberFormat="1" applyFont="1" applyFill="1" applyAlignment="1">
      <alignment horizontal="center"/>
    </xf>
    <xf numFmtId="2" fontId="9" fillId="7" borderId="0" xfId="0" applyNumberFormat="1" applyFont="1" applyFill="1" applyAlignment="1">
      <alignment horizontal="center"/>
    </xf>
    <xf numFmtId="1" fontId="9" fillId="7" borderId="0" xfId="0" applyNumberFormat="1" applyFont="1" applyFill="1" applyAlignment="1">
      <alignment horizontal="center"/>
    </xf>
    <xf numFmtId="164" fontId="0" fillId="7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167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0" borderId="0" xfId="0" applyFont="1" applyFill="1" applyAlignment="1">
      <alignment horizontal="left" vertical="center"/>
    </xf>
    <xf numFmtId="0" fontId="4" fillId="9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BFD1"/>
      <color rgb="FFF2E2EF"/>
      <color rgb="FFB4E0B4"/>
      <color rgb="FFE3B1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FBMKLCI-L:ORFO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423596503641896E-2"/>
          <c:y val="0.12229591039306108"/>
          <c:w val="0.85262001504946716"/>
          <c:h val="0.8072413340097506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713029436972984E-2"/>
                  <c:y val="-0.414523481527214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and Results'!$P$7:$P$66</c:f>
              <c:numCache>
                <c:formatCode>0.000000</c:formatCode>
                <c:ptCount val="60"/>
                <c:pt idx="0">
                  <c:v>-3.6317631360306177E-2</c:v>
                </c:pt>
                <c:pt idx="1">
                  <c:v>-3.1625148589865745E-2</c:v>
                </c:pt>
                <c:pt idx="2">
                  <c:v>-8.8861760103598975E-2</c:v>
                </c:pt>
                <c:pt idx="3">
                  <c:v>4.2112977370474182E-2</c:v>
                </c:pt>
                <c:pt idx="4">
                  <c:v>4.6505846083905178E-2</c:v>
                </c:pt>
                <c:pt idx="5">
                  <c:v>1.8815543865603277E-2</c:v>
                </c:pt>
                <c:pt idx="6">
                  <c:v>6.8475719035024002E-2</c:v>
                </c:pt>
                <c:pt idx="7">
                  <c:v>-4.8972720187061551E-2</c:v>
                </c:pt>
                <c:pt idx="8">
                  <c:v>-1.3368650874305898E-2</c:v>
                </c:pt>
                <c:pt idx="9">
                  <c:v>-2.5205672439228503E-2</c:v>
                </c:pt>
                <c:pt idx="10">
                  <c:v>6.5321871442303059E-2</c:v>
                </c:pt>
                <c:pt idx="11">
                  <c:v>4.1274452713555294E-2</c:v>
                </c:pt>
                <c:pt idx="12">
                  <c:v>-3.7370714290103885E-2</c:v>
                </c:pt>
                <c:pt idx="13">
                  <c:v>7.2459141981613311E-3</c:v>
                </c:pt>
                <c:pt idx="14">
                  <c:v>-2.6873712565362124E-3</c:v>
                </c:pt>
                <c:pt idx="15">
                  <c:v>1.7883585105909781E-2</c:v>
                </c:pt>
                <c:pt idx="16">
                  <c:v>-1.1300846002559945E-2</c:v>
                </c:pt>
                <c:pt idx="17">
                  <c:v>-3.2155599760032738E-2</c:v>
                </c:pt>
                <c:pt idx="18">
                  <c:v>-2.4813555783196335E-2</c:v>
                </c:pt>
                <c:pt idx="19">
                  <c:v>7.144386457915175E-2</c:v>
                </c:pt>
                <c:pt idx="20">
                  <c:v>-3.9703255941750337E-2</c:v>
                </c:pt>
                <c:pt idx="21">
                  <c:v>1.5938353492001556E-2</c:v>
                </c:pt>
                <c:pt idx="22">
                  <c:v>-3.0934961691341623E-2</c:v>
                </c:pt>
                <c:pt idx="23">
                  <c:v>3.5370348353346778E-2</c:v>
                </c:pt>
                <c:pt idx="24">
                  <c:v>-3.5252913819831193E-2</c:v>
                </c:pt>
                <c:pt idx="25">
                  <c:v>6.3487340223637306E-2</c:v>
                </c:pt>
                <c:pt idx="26">
                  <c:v>-1.300768522894028E-2</c:v>
                </c:pt>
                <c:pt idx="27">
                  <c:v>8.2337969962706405E-3</c:v>
                </c:pt>
                <c:pt idx="28">
                  <c:v>-1.8951156876589513E-2</c:v>
                </c:pt>
                <c:pt idx="29">
                  <c:v>-8.017323737341564E-2</c:v>
                </c:pt>
                <c:pt idx="30">
                  <c:v>3.3242857736355949E-2</c:v>
                </c:pt>
                <c:pt idx="31">
                  <c:v>1.3282134791553537E-2</c:v>
                </c:pt>
                <c:pt idx="32">
                  <c:v>-7.7656162163949508E-2</c:v>
                </c:pt>
                <c:pt idx="33">
                  <c:v>4.7145120928131473E-2</c:v>
                </c:pt>
                <c:pt idx="34">
                  <c:v>1.9460688314000357E-2</c:v>
                </c:pt>
                <c:pt idx="35">
                  <c:v>4.4935518538420571E-3</c:v>
                </c:pt>
                <c:pt idx="36">
                  <c:v>-6.6800847882633844E-3</c:v>
                </c:pt>
                <c:pt idx="37">
                  <c:v>-2.1077078424772768E-2</c:v>
                </c:pt>
                <c:pt idx="38">
                  <c:v>-2.1730310344590553E-2</c:v>
                </c:pt>
                <c:pt idx="39">
                  <c:v>-4.6675430025515949E-3</c:v>
                </c:pt>
                <c:pt idx="40">
                  <c:v>-2.0360888449451008E-2</c:v>
                </c:pt>
                <c:pt idx="41">
                  <c:v>-7.5263856047060301E-3</c:v>
                </c:pt>
                <c:pt idx="42">
                  <c:v>6.0108376674317919E-2</c:v>
                </c:pt>
                <c:pt idx="43">
                  <c:v>-5.1321406302460614E-3</c:v>
                </c:pt>
                <c:pt idx="44">
                  <c:v>-1.9126134688761232E-2</c:v>
                </c:pt>
                <c:pt idx="45">
                  <c:v>1.2617875674954553E-2</c:v>
                </c:pt>
                <c:pt idx="46">
                  <c:v>7.3501879151815419E-3</c:v>
                </c:pt>
                <c:pt idx="47">
                  <c:v>1.3216404862536123E-3</c:v>
                </c:pt>
                <c:pt idx="48">
                  <c:v>4.0091842767382022E-2</c:v>
                </c:pt>
                <c:pt idx="49">
                  <c:v>2.5420031989847873E-2</c:v>
                </c:pt>
                <c:pt idx="50">
                  <c:v>-9.9069251791884423E-3</c:v>
                </c:pt>
                <c:pt idx="51">
                  <c:v>2.5975378726229986E-2</c:v>
                </c:pt>
                <c:pt idx="52">
                  <c:v>1.3141113092254316E-2</c:v>
                </c:pt>
                <c:pt idx="53">
                  <c:v>-4.1273141769171936E-3</c:v>
                </c:pt>
                <c:pt idx="54">
                  <c:v>2.2313202397348589E-2</c:v>
                </c:pt>
                <c:pt idx="55">
                  <c:v>3.2745436985180593E-2</c:v>
                </c:pt>
                <c:pt idx="56">
                  <c:v>-1.7804384083869355E-2</c:v>
                </c:pt>
                <c:pt idx="57">
                  <c:v>-2.8521872024549533E-2</c:v>
                </c:pt>
                <c:pt idx="58">
                  <c:v>-4.7381826354034916E-3</c:v>
                </c:pt>
                <c:pt idx="59">
                  <c:v>3.0132535486015695E-2</c:v>
                </c:pt>
              </c:numCache>
            </c:numRef>
          </c:xVal>
          <c:yVal>
            <c:numRef>
              <c:f>'Data and Results'!$O$7:$O$66</c:f>
              <c:numCache>
                <c:formatCode>0.000000</c:formatCode>
                <c:ptCount val="60"/>
                <c:pt idx="0">
                  <c:v>-2.3255813953488393E-2</c:v>
                </c:pt>
                <c:pt idx="1">
                  <c:v>3.1746031746031772E-2</c:v>
                </c:pt>
                <c:pt idx="2">
                  <c:v>-0.12307692307692318</c:v>
                </c:pt>
                <c:pt idx="3">
                  <c:v>0.17543859649122825</c:v>
                </c:pt>
                <c:pt idx="4">
                  <c:v>0.14925373134328354</c:v>
                </c:pt>
                <c:pt idx="5">
                  <c:v>-8.4415584415584485E-2</c:v>
                </c:pt>
                <c:pt idx="6">
                  <c:v>3.5460992907801449E-2</c:v>
                </c:pt>
                <c:pt idx="7">
                  <c:v>0.14383561643835616</c:v>
                </c:pt>
                <c:pt idx="8">
                  <c:v>-2.9940119760478938E-2</c:v>
                </c:pt>
                <c:pt idx="9">
                  <c:v>8.6419753086419693E-2</c:v>
                </c:pt>
                <c:pt idx="10">
                  <c:v>-5.6818181818181872E-3</c:v>
                </c:pt>
                <c:pt idx="11">
                  <c:v>4.0000000000000036E-2</c:v>
                </c:pt>
                <c:pt idx="12">
                  <c:v>-5.4945054945054993E-2</c:v>
                </c:pt>
                <c:pt idx="13">
                  <c:v>-3.4883720930232592E-2</c:v>
                </c:pt>
                <c:pt idx="14">
                  <c:v>0</c:v>
                </c:pt>
                <c:pt idx="15">
                  <c:v>-1.2048192771084348E-2</c:v>
                </c:pt>
                <c:pt idx="16">
                  <c:v>6.7073170731707377E-2</c:v>
                </c:pt>
                <c:pt idx="17">
                  <c:v>-1.1428571428571439E-2</c:v>
                </c:pt>
                <c:pt idx="18">
                  <c:v>1.1560693641618507E-2</c:v>
                </c:pt>
                <c:pt idx="19">
                  <c:v>6.2857142857142917E-2</c:v>
                </c:pt>
                <c:pt idx="20">
                  <c:v>-1.075268817204302E-2</c:v>
                </c:pt>
                <c:pt idx="21">
                  <c:v>7.0652173913043417E-2</c:v>
                </c:pt>
                <c:pt idx="22">
                  <c:v>-8.629441624365479E-2</c:v>
                </c:pt>
                <c:pt idx="23">
                  <c:v>2.222222222222224E-2</c:v>
                </c:pt>
                <c:pt idx="24">
                  <c:v>-2.7173913043478284E-2</c:v>
                </c:pt>
                <c:pt idx="25">
                  <c:v>0.27374301675977641</c:v>
                </c:pt>
                <c:pt idx="26">
                  <c:v>-9.6491228070175336E-2</c:v>
                </c:pt>
                <c:pt idx="27">
                  <c:v>-9.7087378640776777E-3</c:v>
                </c:pt>
                <c:pt idx="28">
                  <c:v>-2.4509803921568648E-2</c:v>
                </c:pt>
                <c:pt idx="29">
                  <c:v>-4.5226130653266375E-2</c:v>
                </c:pt>
                <c:pt idx="30">
                  <c:v>3.6842105263157926E-2</c:v>
                </c:pt>
                <c:pt idx="31">
                  <c:v>3.5532994923857898E-2</c:v>
                </c:pt>
                <c:pt idx="32">
                  <c:v>9.8039215686274592E-2</c:v>
                </c:pt>
                <c:pt idx="33">
                  <c:v>9.8214285714285587E-2</c:v>
                </c:pt>
                <c:pt idx="34">
                  <c:v>4.8780487804878092E-2</c:v>
                </c:pt>
                <c:pt idx="35">
                  <c:v>3.8759689922480654E-2</c:v>
                </c:pt>
                <c:pt idx="36">
                  <c:v>-2.985074626865674E-2</c:v>
                </c:pt>
                <c:pt idx="37">
                  <c:v>-0.16153846153846149</c:v>
                </c:pt>
                <c:pt idx="38">
                  <c:v>4.5871559633027359E-2</c:v>
                </c:pt>
                <c:pt idx="39">
                  <c:v>-3.5087719298245452E-2</c:v>
                </c:pt>
                <c:pt idx="40">
                  <c:v>-3.636363636363639E-2</c:v>
                </c:pt>
                <c:pt idx="41">
                  <c:v>0</c:v>
                </c:pt>
                <c:pt idx="42">
                  <c:v>3.7735849056603807E-2</c:v>
                </c:pt>
                <c:pt idx="43">
                  <c:v>3.6363636363636188E-2</c:v>
                </c:pt>
                <c:pt idx="44">
                  <c:v>3.5087719298245647E-2</c:v>
                </c:pt>
                <c:pt idx="45">
                  <c:v>0.19491525423728814</c:v>
                </c:pt>
                <c:pt idx="46">
                  <c:v>0.2553191489361703</c:v>
                </c:pt>
                <c:pt idx="47">
                  <c:v>-8.4745762711864361E-2</c:v>
                </c:pt>
                <c:pt idx="48">
                  <c:v>0.10493827160493822</c:v>
                </c:pt>
                <c:pt idx="49">
                  <c:v>1.6759776536312863E-2</c:v>
                </c:pt>
                <c:pt idx="50">
                  <c:v>9.3406593406593366E-2</c:v>
                </c:pt>
                <c:pt idx="51">
                  <c:v>5.0251256281407079E-3</c:v>
                </c:pt>
                <c:pt idx="52">
                  <c:v>1.4999999999999902E-2</c:v>
                </c:pt>
                <c:pt idx="53">
                  <c:v>-4.9261083743841316E-3</c:v>
                </c:pt>
                <c:pt idx="54">
                  <c:v>-2.9702970297029729E-2</c:v>
                </c:pt>
                <c:pt idx="55">
                  <c:v>-0.10714285714285712</c:v>
                </c:pt>
                <c:pt idx="56">
                  <c:v>5.1428571428571476E-2</c:v>
                </c:pt>
                <c:pt idx="57">
                  <c:v>-4.3478260869565251E-2</c:v>
                </c:pt>
                <c:pt idx="58">
                  <c:v>-5.6818181818181872E-2</c:v>
                </c:pt>
                <c:pt idx="59">
                  <c:v>-1.2048192771084348E-2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1-6242-ABB5-5E839DA53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682336"/>
        <c:axId val="1055863264"/>
      </c:scatterChart>
      <c:valAx>
        <c:axId val="185468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L:ORFO</a:t>
                </a:r>
              </a:p>
            </c:rich>
          </c:tx>
          <c:layout>
            <c:manualLayout>
              <c:xMode val="edge"/>
              <c:yMode val="edge"/>
              <c:x val="0.56007499138003469"/>
              <c:y val="0.78829836231905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63264"/>
        <c:crosses val="autoZero"/>
        <c:crossBetween val="midCat"/>
      </c:valAx>
      <c:valAx>
        <c:axId val="105586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FBMKLCI</a:t>
                </a:r>
              </a:p>
            </c:rich>
          </c:tx>
          <c:layout>
            <c:manualLayout>
              <c:xMode val="edge"/>
              <c:yMode val="edge"/>
              <c:x val="0.16253201999498104"/>
              <c:y val="0.533821728052224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68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FBMKLCI-L:DUBM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412436147760577E-2"/>
          <c:y val="0.13726524976789428"/>
          <c:w val="0.84839788926542115"/>
          <c:h val="0.7834064667886301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145817786712105E-2"/>
                  <c:y val="-0.546980997136642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and Results'!$P$7:$P$66</c:f>
              <c:numCache>
                <c:formatCode>0.000000</c:formatCode>
                <c:ptCount val="60"/>
                <c:pt idx="0">
                  <c:v>-3.6317631360306177E-2</c:v>
                </c:pt>
                <c:pt idx="1">
                  <c:v>-3.1625148589865745E-2</c:v>
                </c:pt>
                <c:pt idx="2">
                  <c:v>-8.8861760103598975E-2</c:v>
                </c:pt>
                <c:pt idx="3">
                  <c:v>4.2112977370474182E-2</c:v>
                </c:pt>
                <c:pt idx="4">
                  <c:v>4.6505846083905178E-2</c:v>
                </c:pt>
                <c:pt idx="5">
                  <c:v>1.8815543865603277E-2</c:v>
                </c:pt>
                <c:pt idx="6">
                  <c:v>6.8475719035024002E-2</c:v>
                </c:pt>
                <c:pt idx="7">
                  <c:v>-4.8972720187061551E-2</c:v>
                </c:pt>
                <c:pt idx="8">
                  <c:v>-1.3368650874305898E-2</c:v>
                </c:pt>
                <c:pt idx="9">
                  <c:v>-2.5205672439228503E-2</c:v>
                </c:pt>
                <c:pt idx="10">
                  <c:v>6.5321871442303059E-2</c:v>
                </c:pt>
                <c:pt idx="11">
                  <c:v>4.1274452713555294E-2</c:v>
                </c:pt>
                <c:pt idx="12">
                  <c:v>-3.7370714290103885E-2</c:v>
                </c:pt>
                <c:pt idx="13">
                  <c:v>7.2459141981613311E-3</c:v>
                </c:pt>
                <c:pt idx="14">
                  <c:v>-2.6873712565362124E-3</c:v>
                </c:pt>
                <c:pt idx="15">
                  <c:v>1.7883585105909781E-2</c:v>
                </c:pt>
                <c:pt idx="16">
                  <c:v>-1.1300846002559945E-2</c:v>
                </c:pt>
                <c:pt idx="17">
                  <c:v>-3.2155599760032738E-2</c:v>
                </c:pt>
                <c:pt idx="18">
                  <c:v>-2.4813555783196335E-2</c:v>
                </c:pt>
                <c:pt idx="19">
                  <c:v>7.144386457915175E-2</c:v>
                </c:pt>
                <c:pt idx="20">
                  <c:v>-3.9703255941750337E-2</c:v>
                </c:pt>
                <c:pt idx="21">
                  <c:v>1.5938353492001556E-2</c:v>
                </c:pt>
                <c:pt idx="22">
                  <c:v>-3.0934961691341623E-2</c:v>
                </c:pt>
                <c:pt idx="23">
                  <c:v>3.5370348353346778E-2</c:v>
                </c:pt>
                <c:pt idx="24">
                  <c:v>-3.5252913819831193E-2</c:v>
                </c:pt>
                <c:pt idx="25">
                  <c:v>6.3487340223637306E-2</c:v>
                </c:pt>
                <c:pt idx="26">
                  <c:v>-1.300768522894028E-2</c:v>
                </c:pt>
                <c:pt idx="27">
                  <c:v>8.2337969962706405E-3</c:v>
                </c:pt>
                <c:pt idx="28">
                  <c:v>-1.8951156876589513E-2</c:v>
                </c:pt>
                <c:pt idx="29">
                  <c:v>-8.017323737341564E-2</c:v>
                </c:pt>
                <c:pt idx="30">
                  <c:v>3.3242857736355949E-2</c:v>
                </c:pt>
                <c:pt idx="31">
                  <c:v>1.3282134791553537E-2</c:v>
                </c:pt>
                <c:pt idx="32">
                  <c:v>-7.7656162163949508E-2</c:v>
                </c:pt>
                <c:pt idx="33">
                  <c:v>4.7145120928131473E-2</c:v>
                </c:pt>
                <c:pt idx="34">
                  <c:v>1.9460688314000357E-2</c:v>
                </c:pt>
                <c:pt idx="35">
                  <c:v>4.4935518538420571E-3</c:v>
                </c:pt>
                <c:pt idx="36">
                  <c:v>-6.6800847882633844E-3</c:v>
                </c:pt>
                <c:pt idx="37">
                  <c:v>-2.1077078424772768E-2</c:v>
                </c:pt>
                <c:pt idx="38">
                  <c:v>-2.1730310344590553E-2</c:v>
                </c:pt>
                <c:pt idx="39">
                  <c:v>-4.6675430025515949E-3</c:v>
                </c:pt>
                <c:pt idx="40">
                  <c:v>-2.0360888449451008E-2</c:v>
                </c:pt>
                <c:pt idx="41">
                  <c:v>-7.5263856047060301E-3</c:v>
                </c:pt>
                <c:pt idx="42">
                  <c:v>6.0108376674317919E-2</c:v>
                </c:pt>
                <c:pt idx="43">
                  <c:v>-5.1321406302460614E-3</c:v>
                </c:pt>
                <c:pt idx="44">
                  <c:v>-1.9126134688761232E-2</c:v>
                </c:pt>
                <c:pt idx="45">
                  <c:v>1.2617875674954553E-2</c:v>
                </c:pt>
                <c:pt idx="46">
                  <c:v>7.3501879151815419E-3</c:v>
                </c:pt>
                <c:pt idx="47">
                  <c:v>1.3216404862536123E-3</c:v>
                </c:pt>
                <c:pt idx="48">
                  <c:v>4.0091842767382022E-2</c:v>
                </c:pt>
                <c:pt idx="49">
                  <c:v>2.5420031989847873E-2</c:v>
                </c:pt>
                <c:pt idx="50">
                  <c:v>-9.9069251791884423E-3</c:v>
                </c:pt>
                <c:pt idx="51">
                  <c:v>2.5975378726229986E-2</c:v>
                </c:pt>
                <c:pt idx="52">
                  <c:v>1.3141113092254316E-2</c:v>
                </c:pt>
                <c:pt idx="53">
                  <c:v>-4.1273141769171936E-3</c:v>
                </c:pt>
                <c:pt idx="54">
                  <c:v>2.2313202397348589E-2</c:v>
                </c:pt>
                <c:pt idx="55">
                  <c:v>3.2745436985180593E-2</c:v>
                </c:pt>
                <c:pt idx="56">
                  <c:v>-1.7804384083869355E-2</c:v>
                </c:pt>
                <c:pt idx="57">
                  <c:v>-2.8521872024549533E-2</c:v>
                </c:pt>
                <c:pt idx="58">
                  <c:v>-4.7381826354034916E-3</c:v>
                </c:pt>
                <c:pt idx="59">
                  <c:v>3.0132535486015695E-2</c:v>
                </c:pt>
              </c:numCache>
            </c:numRef>
          </c:xVal>
          <c:yVal>
            <c:numRef>
              <c:f>'Data and Results'!$N$7:$N$66</c:f>
              <c:numCache>
                <c:formatCode>0.000000</c:formatCode>
                <c:ptCount val="60"/>
                <c:pt idx="0">
                  <c:v>-0.16496945010183303</c:v>
                </c:pt>
                <c:pt idx="1">
                  <c:v>3.7560975609756075E-2</c:v>
                </c:pt>
                <c:pt idx="2">
                  <c:v>1.7865538316878187E-2</c:v>
                </c:pt>
                <c:pt idx="3">
                  <c:v>0.11085450346420334</c:v>
                </c:pt>
                <c:pt idx="4">
                  <c:v>-6.694386694386692E-2</c:v>
                </c:pt>
                <c:pt idx="5">
                  <c:v>-3.7433155080213894E-2</c:v>
                </c:pt>
                <c:pt idx="6">
                  <c:v>-6.8518518518518534E-2</c:v>
                </c:pt>
                <c:pt idx="7">
                  <c:v>-1.0934393638171093E-2</c:v>
                </c:pt>
                <c:pt idx="8">
                  <c:v>-2.2110552763818982E-2</c:v>
                </c:pt>
                <c:pt idx="9">
                  <c:v>-0.11151079136690656</c:v>
                </c:pt>
                <c:pt idx="10">
                  <c:v>6.1307113938693023E-2</c:v>
                </c:pt>
                <c:pt idx="11">
                  <c:v>2.1798365122615723E-2</c:v>
                </c:pt>
                <c:pt idx="12">
                  <c:v>-7.2000000000000078E-2</c:v>
                </c:pt>
                <c:pt idx="13">
                  <c:v>4.597701149425394E-3</c:v>
                </c:pt>
                <c:pt idx="14">
                  <c:v>2.1167048054919965E-2</c:v>
                </c:pt>
                <c:pt idx="15">
                  <c:v>-2.5210084033613602E-2</c:v>
                </c:pt>
                <c:pt idx="16">
                  <c:v>-1.7241379310344664E-2</c:v>
                </c:pt>
                <c:pt idx="17">
                  <c:v>-1.7543859649122848E-2</c:v>
                </c:pt>
                <c:pt idx="18">
                  <c:v>-1.488095238095238E-2</c:v>
                </c:pt>
                <c:pt idx="19">
                  <c:v>6.2839879154078501E-2</c:v>
                </c:pt>
                <c:pt idx="20">
                  <c:v>-7.6179647527003971E-2</c:v>
                </c:pt>
                <c:pt idx="21">
                  <c:v>3.0769230769230771E-2</c:v>
                </c:pt>
                <c:pt idx="22">
                  <c:v>-8.9552238805969304E-3</c:v>
                </c:pt>
                <c:pt idx="23">
                  <c:v>9.6385542168674777E-3</c:v>
                </c:pt>
                <c:pt idx="24">
                  <c:v>-3.6396181384248383E-2</c:v>
                </c:pt>
                <c:pt idx="25">
                  <c:v>-3.7151702786376922E-3</c:v>
                </c:pt>
                <c:pt idx="26">
                  <c:v>4.3505282784338274E-3</c:v>
                </c:pt>
                <c:pt idx="27">
                  <c:v>5.1980198019801971E-2</c:v>
                </c:pt>
                <c:pt idx="28">
                  <c:v>-2.3529411764705799E-2</c:v>
                </c:pt>
                <c:pt idx="29">
                  <c:v>-5.4216867469879431E-3</c:v>
                </c:pt>
                <c:pt idx="30">
                  <c:v>-6.0569351907944049E-4</c:v>
                </c:pt>
                <c:pt idx="31">
                  <c:v>-2.4242424242424156E-2</c:v>
                </c:pt>
                <c:pt idx="32">
                  <c:v>-3.6645962732919354E-2</c:v>
                </c:pt>
                <c:pt idx="33">
                  <c:v>-2.3210831721469982E-2</c:v>
                </c:pt>
                <c:pt idx="34">
                  <c:v>7.9207920792078688E-3</c:v>
                </c:pt>
                <c:pt idx="35">
                  <c:v>-9.8231827111984523E-3</c:v>
                </c:pt>
                <c:pt idx="36">
                  <c:v>-1.7195767195767181E-2</c:v>
                </c:pt>
                <c:pt idx="37">
                  <c:v>-1.9515477792732109E-2</c:v>
                </c:pt>
                <c:pt idx="38">
                  <c:v>-9.1969800960878506E-2</c:v>
                </c:pt>
                <c:pt idx="39">
                  <c:v>-1.2849584278155701E-2</c:v>
                </c:pt>
                <c:pt idx="40">
                  <c:v>-2.8330781010719831E-2</c:v>
                </c:pt>
                <c:pt idx="41">
                  <c:v>-0.11977935382190698</c:v>
                </c:pt>
                <c:pt idx="42">
                  <c:v>-4.5658012533572052E-2</c:v>
                </c:pt>
                <c:pt idx="43">
                  <c:v>2.251407129455912E-2</c:v>
                </c:pt>
                <c:pt idx="44">
                  <c:v>3.4862385321100822E-2</c:v>
                </c:pt>
                <c:pt idx="45">
                  <c:v>1.7730496453901908E-3</c:v>
                </c:pt>
                <c:pt idx="46">
                  <c:v>-1.3274336283185872E-2</c:v>
                </c:pt>
                <c:pt idx="47">
                  <c:v>3.8565022421524639E-2</c:v>
                </c:pt>
                <c:pt idx="48">
                  <c:v>2.7633851468048382E-2</c:v>
                </c:pt>
                <c:pt idx="49">
                  <c:v>5.8823529411764939E-3</c:v>
                </c:pt>
                <c:pt idx="50">
                  <c:v>0.27986633249791137</c:v>
                </c:pt>
                <c:pt idx="51">
                  <c:v>7.2454308093994738E-2</c:v>
                </c:pt>
                <c:pt idx="52">
                  <c:v>9.5556908094948281E-2</c:v>
                </c:pt>
                <c:pt idx="53">
                  <c:v>4.9999999999999923E-3</c:v>
                </c:pt>
                <c:pt idx="54">
                  <c:v>-0.12935323383084577</c:v>
                </c:pt>
                <c:pt idx="55">
                  <c:v>-4.3809523809523777E-2</c:v>
                </c:pt>
                <c:pt idx="56">
                  <c:v>6.1088977423638773E-2</c:v>
                </c:pt>
                <c:pt idx="57">
                  <c:v>-5.6946182728410517E-2</c:v>
                </c:pt>
                <c:pt idx="58">
                  <c:v>2.8533510285335083E-2</c:v>
                </c:pt>
                <c:pt idx="59">
                  <c:v>-2.6451612903225816E-2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8D-3E4D-AFD7-D6C7810EB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794656"/>
        <c:axId val="891009391"/>
      </c:scatterChart>
      <c:valAx>
        <c:axId val="37679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L:DUBM</a:t>
                </a:r>
              </a:p>
            </c:rich>
          </c:tx>
          <c:layout>
            <c:manualLayout>
              <c:xMode val="edge"/>
              <c:yMode val="edge"/>
              <c:x val="0.56850767676867886"/>
              <c:y val="0.749110188581156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09391"/>
        <c:crosses val="autoZero"/>
        <c:crossBetween val="midCat"/>
      </c:valAx>
      <c:valAx>
        <c:axId val="89100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FBMKLCI</a:t>
                </a:r>
              </a:p>
            </c:rich>
          </c:tx>
          <c:layout>
            <c:manualLayout>
              <c:xMode val="edge"/>
              <c:yMode val="edge"/>
              <c:x val="0.190028078202995"/>
              <c:y val="0.56537707700672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9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FBMKLCI-L:NEST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141500948239505E-2"/>
          <c:y val="0.15040417031733341"/>
          <c:w val="0.87689131668971787"/>
          <c:h val="0.7697506392391969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936850037128943E-2"/>
                  <c:y val="-0.32770239123862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and Results'!$P$7:$P$66</c:f>
              <c:numCache>
                <c:formatCode>0.000000</c:formatCode>
                <c:ptCount val="60"/>
                <c:pt idx="0">
                  <c:v>-3.6317631360306177E-2</c:v>
                </c:pt>
                <c:pt idx="1">
                  <c:v>-3.1625148589865745E-2</c:v>
                </c:pt>
                <c:pt idx="2">
                  <c:v>-8.8861760103598975E-2</c:v>
                </c:pt>
                <c:pt idx="3">
                  <c:v>4.2112977370474182E-2</c:v>
                </c:pt>
                <c:pt idx="4">
                  <c:v>4.6505846083905178E-2</c:v>
                </c:pt>
                <c:pt idx="5">
                  <c:v>1.8815543865603277E-2</c:v>
                </c:pt>
                <c:pt idx="6">
                  <c:v>6.8475719035024002E-2</c:v>
                </c:pt>
                <c:pt idx="7">
                  <c:v>-4.8972720187061551E-2</c:v>
                </c:pt>
                <c:pt idx="8">
                  <c:v>-1.3368650874305898E-2</c:v>
                </c:pt>
                <c:pt idx="9">
                  <c:v>-2.5205672439228503E-2</c:v>
                </c:pt>
                <c:pt idx="10">
                  <c:v>6.5321871442303059E-2</c:v>
                </c:pt>
                <c:pt idx="11">
                  <c:v>4.1274452713555294E-2</c:v>
                </c:pt>
                <c:pt idx="12">
                  <c:v>-3.7370714290103885E-2</c:v>
                </c:pt>
                <c:pt idx="13">
                  <c:v>7.2459141981613311E-3</c:v>
                </c:pt>
                <c:pt idx="14">
                  <c:v>-2.6873712565362124E-3</c:v>
                </c:pt>
                <c:pt idx="15">
                  <c:v>1.7883585105909781E-2</c:v>
                </c:pt>
                <c:pt idx="16">
                  <c:v>-1.1300846002559945E-2</c:v>
                </c:pt>
                <c:pt idx="17">
                  <c:v>-3.2155599760032738E-2</c:v>
                </c:pt>
                <c:pt idx="18">
                  <c:v>-2.4813555783196335E-2</c:v>
                </c:pt>
                <c:pt idx="19">
                  <c:v>7.144386457915175E-2</c:v>
                </c:pt>
                <c:pt idx="20">
                  <c:v>-3.9703255941750337E-2</c:v>
                </c:pt>
                <c:pt idx="21">
                  <c:v>1.5938353492001556E-2</c:v>
                </c:pt>
                <c:pt idx="22">
                  <c:v>-3.0934961691341623E-2</c:v>
                </c:pt>
                <c:pt idx="23">
                  <c:v>3.5370348353346778E-2</c:v>
                </c:pt>
                <c:pt idx="24">
                  <c:v>-3.5252913819831193E-2</c:v>
                </c:pt>
                <c:pt idx="25">
                  <c:v>6.3487340223637306E-2</c:v>
                </c:pt>
                <c:pt idx="26">
                  <c:v>-1.300768522894028E-2</c:v>
                </c:pt>
                <c:pt idx="27">
                  <c:v>8.2337969962706405E-3</c:v>
                </c:pt>
                <c:pt idx="28">
                  <c:v>-1.8951156876589513E-2</c:v>
                </c:pt>
                <c:pt idx="29">
                  <c:v>-8.017323737341564E-2</c:v>
                </c:pt>
                <c:pt idx="30">
                  <c:v>3.3242857736355949E-2</c:v>
                </c:pt>
                <c:pt idx="31">
                  <c:v>1.3282134791553537E-2</c:v>
                </c:pt>
                <c:pt idx="32">
                  <c:v>-7.7656162163949508E-2</c:v>
                </c:pt>
                <c:pt idx="33">
                  <c:v>4.7145120928131473E-2</c:v>
                </c:pt>
                <c:pt idx="34">
                  <c:v>1.9460688314000357E-2</c:v>
                </c:pt>
                <c:pt idx="35">
                  <c:v>4.4935518538420571E-3</c:v>
                </c:pt>
                <c:pt idx="36">
                  <c:v>-6.6800847882633844E-3</c:v>
                </c:pt>
                <c:pt idx="37">
                  <c:v>-2.1077078424772768E-2</c:v>
                </c:pt>
                <c:pt idx="38">
                  <c:v>-2.1730310344590553E-2</c:v>
                </c:pt>
                <c:pt idx="39">
                  <c:v>-4.6675430025515949E-3</c:v>
                </c:pt>
                <c:pt idx="40">
                  <c:v>-2.0360888449451008E-2</c:v>
                </c:pt>
                <c:pt idx="41">
                  <c:v>-7.5263856047060301E-3</c:v>
                </c:pt>
                <c:pt idx="42">
                  <c:v>6.0108376674317919E-2</c:v>
                </c:pt>
                <c:pt idx="43">
                  <c:v>-5.1321406302460614E-3</c:v>
                </c:pt>
                <c:pt idx="44">
                  <c:v>-1.9126134688761232E-2</c:v>
                </c:pt>
                <c:pt idx="45">
                  <c:v>1.2617875674954553E-2</c:v>
                </c:pt>
                <c:pt idx="46">
                  <c:v>7.3501879151815419E-3</c:v>
                </c:pt>
                <c:pt idx="47">
                  <c:v>1.3216404862536123E-3</c:v>
                </c:pt>
                <c:pt idx="48">
                  <c:v>4.0091842767382022E-2</c:v>
                </c:pt>
                <c:pt idx="49">
                  <c:v>2.5420031989847873E-2</c:v>
                </c:pt>
                <c:pt idx="50">
                  <c:v>-9.9069251791884423E-3</c:v>
                </c:pt>
                <c:pt idx="51">
                  <c:v>2.5975378726229986E-2</c:v>
                </c:pt>
                <c:pt idx="52">
                  <c:v>1.3141113092254316E-2</c:v>
                </c:pt>
                <c:pt idx="53">
                  <c:v>-4.1273141769171936E-3</c:v>
                </c:pt>
                <c:pt idx="54">
                  <c:v>2.2313202397348589E-2</c:v>
                </c:pt>
                <c:pt idx="55">
                  <c:v>3.2745436985180593E-2</c:v>
                </c:pt>
                <c:pt idx="56">
                  <c:v>-1.7804384083869355E-2</c:v>
                </c:pt>
                <c:pt idx="57">
                  <c:v>-2.8521872024549533E-2</c:v>
                </c:pt>
                <c:pt idx="58">
                  <c:v>-4.7381826354034916E-3</c:v>
                </c:pt>
                <c:pt idx="59">
                  <c:v>3.0132535486015695E-2</c:v>
                </c:pt>
              </c:numCache>
            </c:numRef>
          </c:xVal>
          <c:yVal>
            <c:numRef>
              <c:f>'Data and Results'!$M$7:$M$66</c:f>
              <c:numCache>
                <c:formatCode>0.000000</c:formatCode>
                <c:ptCount val="60"/>
                <c:pt idx="0">
                  <c:v>-1.8367346938775432E-2</c:v>
                </c:pt>
                <c:pt idx="1">
                  <c:v>-9.009009009009087E-3</c:v>
                </c:pt>
                <c:pt idx="2">
                  <c:v>-4.4055944055944138E-2</c:v>
                </c:pt>
                <c:pt idx="3">
                  <c:v>2.4871982443306555E-2</c:v>
                </c:pt>
                <c:pt idx="4">
                  <c:v>-7.851534618129867E-3</c:v>
                </c:pt>
                <c:pt idx="5">
                  <c:v>6.4748201438849327E-3</c:v>
                </c:pt>
                <c:pt idx="6">
                  <c:v>1.5010721944245849E-2</c:v>
                </c:pt>
                <c:pt idx="7">
                  <c:v>-1.9718309859155011E-2</c:v>
                </c:pt>
                <c:pt idx="8">
                  <c:v>1.5804597701149548E-2</c:v>
                </c:pt>
                <c:pt idx="9">
                  <c:v>-1.4144271570014143E-2</c:v>
                </c:pt>
                <c:pt idx="10">
                  <c:v>-3.8737446197991431E-2</c:v>
                </c:pt>
                <c:pt idx="11">
                  <c:v>3.6567164179104522E-2</c:v>
                </c:pt>
                <c:pt idx="12">
                  <c:v>-1.3678905687545036E-2</c:v>
                </c:pt>
                <c:pt idx="13">
                  <c:v>6.5693430656934724E-3</c:v>
                </c:pt>
                <c:pt idx="14">
                  <c:v>-2.1029731689630207E-2</c:v>
                </c:pt>
                <c:pt idx="15">
                  <c:v>5.1851851851851009E-3</c:v>
                </c:pt>
                <c:pt idx="16">
                  <c:v>5.8953574060428256E-3</c:v>
                </c:pt>
                <c:pt idx="17">
                  <c:v>-2.344322344322336E-2</c:v>
                </c:pt>
                <c:pt idx="18">
                  <c:v>-2.2505626406602503E-3</c:v>
                </c:pt>
                <c:pt idx="19">
                  <c:v>1.278195488721796E-2</c:v>
                </c:pt>
                <c:pt idx="20">
                  <c:v>-1.1878247958426092E-2</c:v>
                </c:pt>
                <c:pt idx="21">
                  <c:v>1.0518407212622132E-2</c:v>
                </c:pt>
                <c:pt idx="22">
                  <c:v>-6.6914498141264359E-3</c:v>
                </c:pt>
                <c:pt idx="23">
                  <c:v>4.4910179640718136E-3</c:v>
                </c:pt>
                <c:pt idx="24">
                  <c:v>-1.6393442622950737E-2</c:v>
                </c:pt>
                <c:pt idx="25">
                  <c:v>1.5151515151515152E-2</c:v>
                </c:pt>
                <c:pt idx="26">
                  <c:v>-2.9850746268657142E-3</c:v>
                </c:pt>
                <c:pt idx="27">
                  <c:v>-2.9940119760479469E-3</c:v>
                </c:pt>
                <c:pt idx="28">
                  <c:v>1.2012012012012184E-2</c:v>
                </c:pt>
                <c:pt idx="29">
                  <c:v>-1.6320474777448198E-2</c:v>
                </c:pt>
                <c:pt idx="30">
                  <c:v>1.5837104072398148E-2</c:v>
                </c:pt>
                <c:pt idx="31">
                  <c:v>-1.2620638455827683E-2</c:v>
                </c:pt>
                <c:pt idx="32">
                  <c:v>-1.8796992481203006E-2</c:v>
                </c:pt>
                <c:pt idx="33">
                  <c:v>1.9157088122605363E-2</c:v>
                </c:pt>
                <c:pt idx="34">
                  <c:v>4.4360902255639142E-2</c:v>
                </c:pt>
                <c:pt idx="35">
                  <c:v>7.919366450683904E-3</c:v>
                </c:pt>
                <c:pt idx="36">
                  <c:v>-3.4285714285714364E-2</c:v>
                </c:pt>
                <c:pt idx="37">
                  <c:v>-7.3964497041415921E-4</c:v>
                </c:pt>
                <c:pt idx="38">
                  <c:v>1.4803849000740193E-2</c:v>
                </c:pt>
                <c:pt idx="39">
                  <c:v>-1.1670313639679025E-2</c:v>
                </c:pt>
                <c:pt idx="40">
                  <c:v>-1.107011070110701E-2</c:v>
                </c:pt>
                <c:pt idx="41">
                  <c:v>-2.2388059701492536E-2</c:v>
                </c:pt>
                <c:pt idx="42">
                  <c:v>2.2137404580152713E-2</c:v>
                </c:pt>
                <c:pt idx="43">
                  <c:v>-2.5392083644510871E-2</c:v>
                </c:pt>
                <c:pt idx="44">
                  <c:v>-3.0651340996168581E-2</c:v>
                </c:pt>
                <c:pt idx="45">
                  <c:v>-2.1343873517786584E-2</c:v>
                </c:pt>
                <c:pt idx="46">
                  <c:v>1.2924071082391022E-2</c:v>
                </c:pt>
                <c:pt idx="47">
                  <c:v>-6.2200956937799132E-2</c:v>
                </c:pt>
                <c:pt idx="48">
                  <c:v>1.6156462585034063E-2</c:v>
                </c:pt>
                <c:pt idx="49">
                  <c:v>4.5188284518828496E-2</c:v>
                </c:pt>
                <c:pt idx="50">
                  <c:v>-5.3642914331465195E-2</c:v>
                </c:pt>
                <c:pt idx="51">
                  <c:v>7.6142131979695424E-2</c:v>
                </c:pt>
                <c:pt idx="52">
                  <c:v>3.1446540880502474E-3</c:v>
                </c:pt>
                <c:pt idx="53">
                  <c:v>-4.7805642633228798E-2</c:v>
                </c:pt>
                <c:pt idx="54">
                  <c:v>-0.10617283950617289</c:v>
                </c:pt>
                <c:pt idx="55">
                  <c:v>-2.3941068139963117E-2</c:v>
                </c:pt>
                <c:pt idx="56">
                  <c:v>-1.8867924528301886E-2</c:v>
                </c:pt>
                <c:pt idx="57">
                  <c:v>-3.8653846153846115E-2</c:v>
                </c:pt>
                <c:pt idx="58">
                  <c:v>-3.2806561312262464E-2</c:v>
                </c:pt>
                <c:pt idx="59">
                  <c:v>3.3919338159255442E-2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25-D04D-8ECF-4DA0F43E8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907743"/>
        <c:axId val="293067216"/>
      </c:scatterChart>
      <c:valAx>
        <c:axId val="126890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L:NEST</a:t>
                </a:r>
              </a:p>
            </c:rich>
          </c:tx>
          <c:layout>
            <c:manualLayout>
              <c:xMode val="edge"/>
              <c:yMode val="edge"/>
              <c:x val="0.58085775494198166"/>
              <c:y val="0.687069473595097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67216"/>
        <c:crosses val="autoZero"/>
        <c:crossBetween val="midCat"/>
      </c:valAx>
      <c:valAx>
        <c:axId val="29306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FBMKLCI</a:t>
                </a:r>
              </a:p>
            </c:rich>
          </c:tx>
          <c:layout>
            <c:manualLayout>
              <c:xMode val="edge"/>
              <c:yMode val="edge"/>
              <c:x val="0.21818298095449451"/>
              <c:y val="0.36537758543430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90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0" i="0" u="none" strike="noStrike" baseline="0"/>
              <a:t>Monthly Value of Investment (Made at End of December 2019 from RM1 to End of December 2024): L:NEST, L:DUBM, L:ORFO, FBMKLCI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L:NEST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and Results'!$X$6:$X$66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'Data and Results'!$Z$6:$Z$66</c:f>
              <c:numCache>
                <c:formatCode>0.0000</c:formatCode>
                <c:ptCount val="61"/>
                <c:pt idx="0">
                  <c:v>1</c:v>
                </c:pt>
                <c:pt idx="1">
                  <c:v>0.9816326530612246</c:v>
                </c:pt>
                <c:pt idx="2">
                  <c:v>0.97278911564625847</c:v>
                </c:pt>
                <c:pt idx="3">
                  <c:v>0.92993197278911555</c:v>
                </c:pt>
                <c:pt idx="4">
                  <c:v>0.95306122448979591</c:v>
                </c:pt>
                <c:pt idx="5">
                  <c:v>0.94557823129251706</c:v>
                </c:pt>
                <c:pt idx="6">
                  <c:v>0.95170068027210886</c:v>
                </c:pt>
                <c:pt idx="7">
                  <c:v>0.9659863945578232</c:v>
                </c:pt>
                <c:pt idx="8">
                  <c:v>0.94693877551020411</c:v>
                </c:pt>
                <c:pt idx="9">
                  <c:v>0.96190476190476215</c:v>
                </c:pt>
                <c:pt idx="10">
                  <c:v>0.94829931972789139</c:v>
                </c:pt>
                <c:pt idx="11">
                  <c:v>0.91156462585034026</c:v>
                </c:pt>
                <c:pt idx="12">
                  <c:v>0.9448979591836737</c:v>
                </c:pt>
                <c:pt idx="13">
                  <c:v>0.93197278911564641</c:v>
                </c:pt>
                <c:pt idx="14">
                  <c:v>0.93809523809523832</c:v>
                </c:pt>
                <c:pt idx="15">
                  <c:v>0.91836734693877575</c:v>
                </c:pt>
                <c:pt idx="16">
                  <c:v>0.9231292517006805</c:v>
                </c:pt>
                <c:pt idx="17">
                  <c:v>0.92857142857142883</c:v>
                </c:pt>
                <c:pt idx="18">
                  <c:v>0.90680272108843574</c:v>
                </c:pt>
                <c:pt idx="19">
                  <c:v>0.90476190476190499</c:v>
                </c:pt>
                <c:pt idx="20">
                  <c:v>0.916326530612245</c:v>
                </c:pt>
                <c:pt idx="21">
                  <c:v>0.90544217687074846</c:v>
                </c:pt>
                <c:pt idx="22">
                  <c:v>0.91496598639455795</c:v>
                </c:pt>
                <c:pt idx="23">
                  <c:v>0.90884353741496615</c:v>
                </c:pt>
                <c:pt idx="24">
                  <c:v>0.91292517006802731</c:v>
                </c:pt>
                <c:pt idx="25">
                  <c:v>0.89795918367346961</c:v>
                </c:pt>
                <c:pt idx="26">
                  <c:v>0.91156462585034037</c:v>
                </c:pt>
                <c:pt idx="27">
                  <c:v>0.90884353741496615</c:v>
                </c:pt>
                <c:pt idx="28">
                  <c:v>0.90612244897959193</c:v>
                </c:pt>
                <c:pt idx="29">
                  <c:v>0.9170068027210887</c:v>
                </c:pt>
                <c:pt idx="30">
                  <c:v>0.90204081632653066</c:v>
                </c:pt>
                <c:pt idx="31">
                  <c:v>0.91632653061224489</c:v>
                </c:pt>
                <c:pt idx="32">
                  <c:v>0.90476190476190477</c:v>
                </c:pt>
                <c:pt idx="33">
                  <c:v>0.88775510204081631</c:v>
                </c:pt>
                <c:pt idx="34">
                  <c:v>0.90476190476190466</c:v>
                </c:pt>
                <c:pt idx="35">
                  <c:v>0.94489795918367336</c:v>
                </c:pt>
                <c:pt idx="36">
                  <c:v>0.95238095238095211</c:v>
                </c:pt>
                <c:pt idx="37">
                  <c:v>0.91972789115646225</c:v>
                </c:pt>
                <c:pt idx="38">
                  <c:v>0.91904761904761878</c:v>
                </c:pt>
                <c:pt idx="39">
                  <c:v>0.93265306122448965</c:v>
                </c:pt>
                <c:pt idx="40">
                  <c:v>0.921768707482993</c:v>
                </c:pt>
                <c:pt idx="41">
                  <c:v>0.91156462585033993</c:v>
                </c:pt>
                <c:pt idx="42">
                  <c:v>0.89115646258503389</c:v>
                </c:pt>
                <c:pt idx="43">
                  <c:v>0.91088435374149657</c:v>
                </c:pt>
                <c:pt idx="44">
                  <c:v>0.88775510204081631</c:v>
                </c:pt>
                <c:pt idx="45">
                  <c:v>0.86054421768707479</c:v>
                </c:pt>
                <c:pt idx="46">
                  <c:v>0.84217687074829928</c:v>
                </c:pt>
                <c:pt idx="47">
                  <c:v>0.85306122448979593</c:v>
                </c:pt>
                <c:pt idx="48">
                  <c:v>0.79999999999999993</c:v>
                </c:pt>
                <c:pt idx="49">
                  <c:v>0.81292517006802723</c:v>
                </c:pt>
                <c:pt idx="50">
                  <c:v>0.84965986394557824</c:v>
                </c:pt>
                <c:pt idx="51">
                  <c:v>0.80408163265306121</c:v>
                </c:pt>
                <c:pt idx="52">
                  <c:v>0.86530612244897953</c:v>
                </c:pt>
                <c:pt idx="53">
                  <c:v>0.86802721088435364</c:v>
                </c:pt>
                <c:pt idx="54">
                  <c:v>0.82653061224489788</c:v>
                </c:pt>
                <c:pt idx="55">
                  <c:v>0.73877551020408161</c:v>
                </c:pt>
                <c:pt idx="56">
                  <c:v>0.72108843537414968</c:v>
                </c:pt>
                <c:pt idx="57">
                  <c:v>0.70748299319727892</c:v>
                </c:pt>
                <c:pt idx="58">
                  <c:v>0.68013605442176872</c:v>
                </c:pt>
                <c:pt idx="59">
                  <c:v>0.65782312925170072</c:v>
                </c:pt>
                <c:pt idx="60">
                  <c:v>0.68013605442176883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A1-794C-BE63-212513A505D4}"/>
            </c:ext>
          </c:extLst>
        </c:ser>
        <c:ser>
          <c:idx val="1"/>
          <c:order val="1"/>
          <c:tx>
            <c:v>L:DUBM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and Results'!$X$6:$X$66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'Data and Results'!$AA$6:$AA$66</c:f>
              <c:numCache>
                <c:formatCode>0.0000</c:formatCode>
                <c:ptCount val="61"/>
                <c:pt idx="0">
                  <c:v>1</c:v>
                </c:pt>
                <c:pt idx="1">
                  <c:v>0.83503054989816694</c:v>
                </c:pt>
                <c:pt idx="2">
                  <c:v>0.86639511201629327</c:v>
                </c:pt>
                <c:pt idx="3">
                  <c:v>0.88187372708757639</c:v>
                </c:pt>
                <c:pt idx="4">
                  <c:v>0.97963340122199616</c:v>
                </c:pt>
                <c:pt idx="5">
                  <c:v>0.91405295315682311</c:v>
                </c:pt>
                <c:pt idx="6">
                  <c:v>0.87983706720977617</c:v>
                </c:pt>
                <c:pt idx="7">
                  <c:v>0.81955193482688404</c:v>
                </c:pt>
                <c:pt idx="8">
                  <c:v>0.81059063136456222</c:v>
                </c:pt>
                <c:pt idx="9">
                  <c:v>0.79266802443991868</c:v>
                </c:pt>
                <c:pt idx="10">
                  <c:v>0.70427698574338093</c:v>
                </c:pt>
                <c:pt idx="11">
                  <c:v>0.74745417515274959</c:v>
                </c:pt>
                <c:pt idx="12">
                  <c:v>0.76374745417515277</c:v>
                </c:pt>
                <c:pt idx="13">
                  <c:v>0.70875763747454168</c:v>
                </c:pt>
                <c:pt idx="14">
                  <c:v>0.71201629327902238</c:v>
                </c:pt>
                <c:pt idx="15">
                  <c:v>0.72708757637474541</c:v>
                </c:pt>
                <c:pt idx="16">
                  <c:v>0.70875763747454168</c:v>
                </c:pt>
                <c:pt idx="17">
                  <c:v>0.69653767820773937</c:v>
                </c:pt>
                <c:pt idx="18">
                  <c:v>0.68431771894093685</c:v>
                </c:pt>
                <c:pt idx="19">
                  <c:v>0.67413441955193487</c:v>
                </c:pt>
                <c:pt idx="20">
                  <c:v>0.71649694501018335</c:v>
                </c:pt>
                <c:pt idx="21">
                  <c:v>0.66191446028513246</c:v>
                </c:pt>
                <c:pt idx="22">
                  <c:v>0.68228105906313641</c:v>
                </c:pt>
                <c:pt idx="23">
                  <c:v>0.67617107942973531</c:v>
                </c:pt>
                <c:pt idx="24">
                  <c:v>0.68268839103869672</c:v>
                </c:pt>
                <c:pt idx="25">
                  <c:v>0.65784114052953158</c:v>
                </c:pt>
                <c:pt idx="26">
                  <c:v>0.65539714867617116</c:v>
                </c:pt>
                <c:pt idx="27">
                  <c:v>0.65824847250509166</c:v>
                </c:pt>
                <c:pt idx="28">
                  <c:v>0.6924643584521385</c:v>
                </c:pt>
                <c:pt idx="29">
                  <c:v>0.67617107942973531</c:v>
                </c:pt>
                <c:pt idx="30">
                  <c:v>0.67250509164969463</c:v>
                </c:pt>
                <c:pt idx="31">
                  <c:v>0.67209775967413443</c:v>
                </c:pt>
                <c:pt idx="32">
                  <c:v>0.65580448065173125</c:v>
                </c:pt>
                <c:pt idx="33">
                  <c:v>0.63177189409368639</c:v>
                </c:pt>
                <c:pt idx="34">
                  <c:v>0.61710794297352345</c:v>
                </c:pt>
                <c:pt idx="35">
                  <c:v>0.62199592668024439</c:v>
                </c:pt>
                <c:pt idx="36">
                  <c:v>0.61588594704684319</c:v>
                </c:pt>
                <c:pt idx="37">
                  <c:v>0.60529531568228101</c:v>
                </c:pt>
                <c:pt idx="38">
                  <c:v>0.59348268839103868</c:v>
                </c:pt>
                <c:pt idx="39">
                  <c:v>0.53890020366598779</c:v>
                </c:pt>
                <c:pt idx="40">
                  <c:v>0.5319755600814664</c:v>
                </c:pt>
                <c:pt idx="41">
                  <c:v>0.51690427698574337</c:v>
                </c:pt>
                <c:pt idx="42">
                  <c:v>0.45498981670061101</c:v>
                </c:pt>
                <c:pt idx="43">
                  <c:v>0.43421588594704685</c:v>
                </c:pt>
                <c:pt idx="44">
                  <c:v>0.4439918533604888</c:v>
                </c:pt>
                <c:pt idx="45">
                  <c:v>0.45947046843177181</c:v>
                </c:pt>
                <c:pt idx="46">
                  <c:v>0.46028513238289204</c:v>
                </c:pt>
                <c:pt idx="47">
                  <c:v>0.45417515274949083</c:v>
                </c:pt>
                <c:pt idx="48">
                  <c:v>0.47169042769857428</c:v>
                </c:pt>
                <c:pt idx="49">
                  <c:v>0.48472505091649687</c:v>
                </c:pt>
                <c:pt idx="50">
                  <c:v>0.48757637474541743</c:v>
                </c:pt>
                <c:pt idx="51">
                  <c:v>0.62403258655804461</c:v>
                </c:pt>
                <c:pt idx="52">
                  <c:v>0.66924643584521359</c:v>
                </c:pt>
                <c:pt idx="53">
                  <c:v>0.7331975560081464</c:v>
                </c:pt>
                <c:pt idx="54">
                  <c:v>0.73686354378818708</c:v>
                </c:pt>
                <c:pt idx="55">
                  <c:v>0.64154786150712806</c:v>
                </c:pt>
                <c:pt idx="56">
                  <c:v>0.61344195519348255</c:v>
                </c:pt>
                <c:pt idx="57">
                  <c:v>0.65091649694500997</c:v>
                </c:pt>
                <c:pt idx="58">
                  <c:v>0.61384928716904252</c:v>
                </c:pt>
                <c:pt idx="59">
                  <c:v>0.63136456211812597</c:v>
                </c:pt>
                <c:pt idx="60">
                  <c:v>0.61466395112016259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A1-794C-BE63-212513A505D4}"/>
            </c:ext>
          </c:extLst>
        </c:ser>
        <c:ser>
          <c:idx val="2"/>
          <c:order val="2"/>
          <c:tx>
            <c:v>L:ORFO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 and Results'!$X$6:$X$66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'Data and Results'!$AB$6:$AB$66</c:f>
              <c:numCache>
                <c:formatCode>0.0000</c:formatCode>
                <c:ptCount val="61"/>
                <c:pt idx="0">
                  <c:v>1</c:v>
                </c:pt>
                <c:pt idx="1">
                  <c:v>0.97674418604651159</c:v>
                </c:pt>
                <c:pt idx="2">
                  <c:v>1.0077519379844961</c:v>
                </c:pt>
                <c:pt idx="3">
                  <c:v>0.88372093023255804</c:v>
                </c:pt>
                <c:pt idx="4">
                  <c:v>1.0387596899224807</c:v>
                </c:pt>
                <c:pt idx="5">
                  <c:v>1.1937984496124032</c:v>
                </c:pt>
                <c:pt idx="6">
                  <c:v>1.0930232558139534</c:v>
                </c:pt>
                <c:pt idx="7">
                  <c:v>1.1317829457364339</c:v>
                </c:pt>
                <c:pt idx="8">
                  <c:v>1.2945736434108523</c:v>
                </c:pt>
                <c:pt idx="9">
                  <c:v>1.2558139534883719</c:v>
                </c:pt>
                <c:pt idx="10">
                  <c:v>1.3643410852713176</c:v>
                </c:pt>
                <c:pt idx="11">
                  <c:v>1.3565891472868215</c:v>
                </c:pt>
                <c:pt idx="12">
                  <c:v>1.4108527131782944</c:v>
                </c:pt>
                <c:pt idx="13">
                  <c:v>1.333333333333333</c:v>
                </c:pt>
                <c:pt idx="14">
                  <c:v>1.2868217054263562</c:v>
                </c:pt>
                <c:pt idx="15">
                  <c:v>1.2868217054263562</c:v>
                </c:pt>
                <c:pt idx="16">
                  <c:v>1.2713178294573639</c:v>
                </c:pt>
                <c:pt idx="17">
                  <c:v>1.3565891472868215</c:v>
                </c:pt>
                <c:pt idx="18">
                  <c:v>1.3410852713178292</c:v>
                </c:pt>
                <c:pt idx="19">
                  <c:v>1.3565891472868215</c:v>
                </c:pt>
                <c:pt idx="20">
                  <c:v>1.441860465116279</c:v>
                </c:pt>
                <c:pt idx="21">
                  <c:v>1.4263565891472867</c:v>
                </c:pt>
                <c:pt idx="22">
                  <c:v>1.5271317829457363</c:v>
                </c:pt>
                <c:pt idx="23">
                  <c:v>1.3953488372093024</c:v>
                </c:pt>
                <c:pt idx="24">
                  <c:v>1.4263565891472867</c:v>
                </c:pt>
                <c:pt idx="25">
                  <c:v>1.387596899224806</c:v>
                </c:pt>
                <c:pt idx="26">
                  <c:v>1.7674418604651156</c:v>
                </c:pt>
                <c:pt idx="27">
                  <c:v>1.5968992248062013</c:v>
                </c:pt>
                <c:pt idx="28">
                  <c:v>1.581395348837209</c:v>
                </c:pt>
                <c:pt idx="29">
                  <c:v>1.5426356589147283</c:v>
                </c:pt>
                <c:pt idx="30">
                  <c:v>1.4728682170542631</c:v>
                </c:pt>
                <c:pt idx="31">
                  <c:v>1.527131782945736</c:v>
                </c:pt>
                <c:pt idx="32">
                  <c:v>1.5813953488372088</c:v>
                </c:pt>
                <c:pt idx="33">
                  <c:v>1.7364341085271313</c:v>
                </c:pt>
                <c:pt idx="34">
                  <c:v>1.9069767441860457</c:v>
                </c:pt>
                <c:pt idx="35">
                  <c:v>1.9999999999999991</c:v>
                </c:pt>
                <c:pt idx="36">
                  <c:v>2.0775193798449605</c:v>
                </c:pt>
                <c:pt idx="37">
                  <c:v>2.0155038759689914</c:v>
                </c:pt>
                <c:pt idx="38">
                  <c:v>1.6899224806201543</c:v>
                </c:pt>
                <c:pt idx="39">
                  <c:v>1.7674418604651154</c:v>
                </c:pt>
                <c:pt idx="40">
                  <c:v>1.7054263565891468</c:v>
                </c:pt>
                <c:pt idx="41">
                  <c:v>1.6434108527131777</c:v>
                </c:pt>
                <c:pt idx="42">
                  <c:v>1.6434108527131777</c:v>
                </c:pt>
                <c:pt idx="43">
                  <c:v>1.7054263565891465</c:v>
                </c:pt>
                <c:pt idx="44">
                  <c:v>1.7674418604651152</c:v>
                </c:pt>
                <c:pt idx="45">
                  <c:v>1.8294573643410843</c:v>
                </c:pt>
                <c:pt idx="46">
                  <c:v>2.1860465116279055</c:v>
                </c:pt>
                <c:pt idx="47">
                  <c:v>2.7441860465116266</c:v>
                </c:pt>
                <c:pt idx="48">
                  <c:v>2.5116279069767429</c:v>
                </c:pt>
                <c:pt idx="49">
                  <c:v>2.7751937984496111</c:v>
                </c:pt>
                <c:pt idx="50">
                  <c:v>2.8217054263565875</c:v>
                </c:pt>
                <c:pt idx="51">
                  <c:v>3.0852713178294553</c:v>
                </c:pt>
                <c:pt idx="52">
                  <c:v>3.1007751937984471</c:v>
                </c:pt>
                <c:pt idx="53">
                  <c:v>3.1472868217054235</c:v>
                </c:pt>
                <c:pt idx="54">
                  <c:v>3.1317829457364317</c:v>
                </c:pt>
                <c:pt idx="55">
                  <c:v>3.038759689922478</c:v>
                </c:pt>
                <c:pt idx="56">
                  <c:v>2.7131782945736411</c:v>
                </c:pt>
                <c:pt idx="57">
                  <c:v>2.8527131782945712</c:v>
                </c:pt>
                <c:pt idx="58">
                  <c:v>2.728682170542633</c:v>
                </c:pt>
                <c:pt idx="59">
                  <c:v>2.5736434108527106</c:v>
                </c:pt>
                <c:pt idx="60">
                  <c:v>2.5426356589147261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A1-794C-BE63-212513A505D4}"/>
            </c:ext>
          </c:extLst>
        </c:ser>
        <c:ser>
          <c:idx val="3"/>
          <c:order val="3"/>
          <c:tx>
            <c:v>FBMKLCI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'Data and Results'!$X$6:$X$66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'Data and Results'!$AC$6:$AC$66</c:f>
              <c:numCache>
                <c:formatCode>0.0000</c:formatCode>
                <c:ptCount val="61"/>
                <c:pt idx="0">
                  <c:v>1</c:v>
                </c:pt>
                <c:pt idx="1">
                  <c:v>0.96368236863969381</c:v>
                </c:pt>
                <c:pt idx="2">
                  <c:v>0.93320577053802967</c:v>
                </c:pt>
                <c:pt idx="3">
                  <c:v>0.85027946322918502</c:v>
                </c:pt>
                <c:pt idx="4">
                  <c:v>0.88608726302273466</c:v>
                </c:pt>
                <c:pt idx="5">
                  <c:v>0.92729550089377877</c:v>
                </c:pt>
                <c:pt idx="6">
                  <c:v>0.94474307006722225</c:v>
                </c:pt>
                <c:pt idx="7">
                  <c:v>1.0094350310934315</c:v>
                </c:pt>
                <c:pt idx="8">
                  <c:v>0.96000025176867509</c:v>
                </c:pt>
                <c:pt idx="9">
                  <c:v>0.94716634356353391</c:v>
                </c:pt>
                <c:pt idx="10">
                  <c:v>0.92329237896220961</c:v>
                </c:pt>
                <c:pt idx="11">
                  <c:v>0.98360356504443736</c:v>
                </c:pt>
                <c:pt idx="12">
                  <c:v>1.0242012638787485</c:v>
                </c:pt>
                <c:pt idx="13">
                  <c:v>0.98592613107077254</c:v>
                </c:pt>
                <c:pt idx="14">
                  <c:v>0.99307006722223656</c:v>
                </c:pt>
                <c:pt idx="15">
                  <c:v>0.99040131926785713</c:v>
                </c:pt>
                <c:pt idx="16">
                  <c:v>1.0081132455499893</c:v>
                </c:pt>
                <c:pt idx="17">
                  <c:v>0.99672071300888787</c:v>
                </c:pt>
                <c:pt idx="18">
                  <c:v>0.96467056068883972</c:v>
                </c:pt>
                <c:pt idx="19">
                  <c:v>0.94073365391877994</c:v>
                </c:pt>
                <c:pt idx="20">
                  <c:v>1.0079433016944039</c:v>
                </c:pt>
                <c:pt idx="21">
                  <c:v>0.96792467081245814</c:v>
                </c:pt>
                <c:pt idx="22">
                  <c:v>0.98335179636949621</c:v>
                </c:pt>
                <c:pt idx="23">
                  <c:v>0.95293184621969396</c:v>
                </c:pt>
                <c:pt idx="24">
                  <c:v>0.98663737757748238</c:v>
                </c:pt>
                <c:pt idx="25">
                  <c:v>0.95185553513431909</c:v>
                </c:pt>
                <c:pt idx="26">
                  <c:v>1.0122863113371441</c:v>
                </c:pt>
                <c:pt idx="27">
                  <c:v>0.9991188096377055</c:v>
                </c:pt>
                <c:pt idx="28">
                  <c:v>1.0073453510914181</c:v>
                </c:pt>
                <c:pt idx="29">
                  <c:v>0.98825499131398142</c:v>
                </c:pt>
                <c:pt idx="30">
                  <c:v>0.90902338930990279</c:v>
                </c:pt>
                <c:pt idx="31">
                  <c:v>0.93924192451975197</c:v>
                </c:pt>
                <c:pt idx="32">
                  <c:v>0.95171706236310138</c:v>
                </c:pt>
                <c:pt idx="33">
                  <c:v>0.87781036783403465</c:v>
                </c:pt>
                <c:pt idx="34">
                  <c:v>0.9191948437775378</c:v>
                </c:pt>
                <c:pt idx="35">
                  <c:v>0.93708300813212864</c:v>
                </c:pt>
                <c:pt idx="36">
                  <c:v>0.94129383922052468</c:v>
                </c:pt>
                <c:pt idx="37">
                  <c:v>0.93500591656386156</c:v>
                </c:pt>
                <c:pt idx="38">
                  <c:v>0.91529872353281849</c:v>
                </c:pt>
                <c:pt idx="39">
                  <c:v>0.8954089982124428</c:v>
                </c:pt>
                <c:pt idx="40">
                  <c:v>0.89122963820841461</c:v>
                </c:pt>
                <c:pt idx="41">
                  <c:v>0.87308341096200848</c:v>
                </c:pt>
                <c:pt idx="42">
                  <c:v>0.86651224854603648</c:v>
                </c:pt>
                <c:pt idx="43">
                  <c:v>0.91859689317455195</c:v>
                </c:pt>
                <c:pt idx="44">
                  <c:v>0.91388252473627307</c:v>
                </c:pt>
                <c:pt idx="45">
                  <c:v>0.89640348447846196</c:v>
                </c:pt>
                <c:pt idx="46">
                  <c:v>0.90771419220020733</c:v>
                </c:pt>
                <c:pt idx="47">
                  <c:v>0.91438606208615614</c:v>
                </c:pt>
                <c:pt idx="48">
                  <c:v>0.91559455172587534</c:v>
                </c:pt>
                <c:pt idx="49">
                  <c:v>0.95230242453234071</c:v>
                </c:pt>
                <c:pt idx="50">
                  <c:v>0.97650998262796251</c:v>
                </c:pt>
                <c:pt idx="51">
                  <c:v>0.96683577129333664</c:v>
                </c:pt>
                <c:pt idx="52">
                  <c:v>0.99194969661874777</c:v>
                </c:pt>
                <c:pt idx="53">
                  <c:v>1.0049850197638421</c:v>
                </c:pt>
                <c:pt idx="54">
                  <c:v>1.0008371308441815</c:v>
                </c:pt>
                <c:pt idx="55">
                  <c:v>1.0231690123114894</c:v>
                </c:pt>
                <c:pt idx="56">
                  <c:v>1.0566731287293247</c:v>
                </c:pt>
                <c:pt idx="57">
                  <c:v>1.037859714494324</c:v>
                </c:pt>
                <c:pt idx="58">
                  <c:v>1.0082580125380813</c:v>
                </c:pt>
                <c:pt idx="59">
                  <c:v>1.003480701931067</c:v>
                </c:pt>
                <c:pt idx="60">
                  <c:v>1.0337181197915368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A1-794C-BE63-212513A50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203232"/>
        <c:axId val="286221344"/>
      </c:lineChart>
      <c:catAx>
        <c:axId val="45420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</a:t>
                </a:r>
              </a:p>
            </c:rich>
          </c:tx>
          <c:layout>
            <c:manualLayout>
              <c:xMode val="edge"/>
              <c:yMode val="edge"/>
              <c:x val="0.50676596165178434"/>
              <c:y val="0.87253031423601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2134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28622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Value of Investment</a:t>
                </a:r>
              </a:p>
            </c:rich>
          </c:tx>
          <c:layout>
            <c:manualLayout>
              <c:xMode val="edge"/>
              <c:yMode val="edge"/>
              <c:x val="1.0898432979418267E-2"/>
              <c:y val="0.344907812297597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0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612876</xdr:colOff>
      <xdr:row>55</xdr:row>
      <xdr:rowOff>203992</xdr:rowOff>
    </xdr:from>
    <xdr:to>
      <xdr:col>20</xdr:col>
      <xdr:colOff>1654551</xdr:colOff>
      <xdr:row>73</xdr:row>
      <xdr:rowOff>162231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8DB4A8E-7726-E804-7594-4A7978588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651788</xdr:colOff>
      <xdr:row>35</xdr:row>
      <xdr:rowOff>197944</xdr:rowOff>
    </xdr:from>
    <xdr:to>
      <xdr:col>20</xdr:col>
      <xdr:colOff>1637863</xdr:colOff>
      <xdr:row>53</xdr:row>
      <xdr:rowOff>122904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113ED85-97C4-3A52-2962-7D1E1A6FF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586281</xdr:colOff>
      <xdr:row>17</xdr:row>
      <xdr:rowOff>3473</xdr:rowOff>
    </xdr:from>
    <xdr:to>
      <xdr:col>20</xdr:col>
      <xdr:colOff>1669164</xdr:colOff>
      <xdr:row>34</xdr:row>
      <xdr:rowOff>138854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EEFB89E-9B13-3EE9-DF0F-0D4A389FCAB8}"/>
            </a:ext>
            <a:ext uri="{147F2762-F138-4A5C-976F-8EAC2B608ADB}">
              <a16:predDERef xmlns:a16="http://schemas.microsoft.com/office/drawing/2014/main" pred="{C113ED85-97C4-3A52-2962-7D1E1A6FF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5</xdr:row>
      <xdr:rowOff>182950</xdr:rowOff>
    </xdr:from>
    <xdr:to>
      <xdr:col>39</xdr:col>
      <xdr:colOff>448236</xdr:colOff>
      <xdr:row>26</xdr:row>
      <xdr:rowOff>14941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4A724E2-F9EC-E103-749B-4E90801B9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5819-6C69-4361-B529-DD3DC04FAC38}">
  <dimension ref="B3:D8"/>
  <sheetViews>
    <sheetView workbookViewId="0">
      <selection activeCell="E19" sqref="E19"/>
    </sheetView>
  </sheetViews>
  <sheetFormatPr baseColWidth="10" defaultColWidth="8.83203125" defaultRowHeight="15" x14ac:dyDescent="0.2"/>
  <cols>
    <col min="3" max="3" width="37.1640625" customWidth="1"/>
    <col min="4" max="4" width="20.5" customWidth="1"/>
  </cols>
  <sheetData>
    <row r="3" spans="2:4" x14ac:dyDescent="0.2">
      <c r="B3" s="3"/>
      <c r="C3" s="4" t="s">
        <v>0</v>
      </c>
      <c r="D3" s="4" t="s">
        <v>1</v>
      </c>
    </row>
    <row r="4" spans="2:4" x14ac:dyDescent="0.2">
      <c r="B4" s="4">
        <v>1</v>
      </c>
      <c r="C4" s="2" t="s">
        <v>2</v>
      </c>
      <c r="D4" s="2">
        <v>35268247</v>
      </c>
    </row>
    <row r="5" spans="2:4" x14ac:dyDescent="0.2">
      <c r="B5" s="4">
        <v>2</v>
      </c>
      <c r="C5" s="2" t="s">
        <v>3</v>
      </c>
      <c r="D5" s="2">
        <v>34600159</v>
      </c>
    </row>
    <row r="6" spans="2:4" x14ac:dyDescent="0.2">
      <c r="B6" s="4">
        <v>3</v>
      </c>
      <c r="C6" s="2" t="s">
        <v>4</v>
      </c>
      <c r="D6" s="2">
        <v>35098244</v>
      </c>
    </row>
    <row r="7" spans="2:4" x14ac:dyDescent="0.2">
      <c r="B7" s="4">
        <v>4</v>
      </c>
      <c r="C7" s="2" t="s">
        <v>5</v>
      </c>
      <c r="D7" s="2">
        <v>35320729</v>
      </c>
    </row>
    <row r="8" spans="2:4" x14ac:dyDescent="0.2">
      <c r="B8" s="4">
        <v>5</v>
      </c>
      <c r="C8" s="2" t="s">
        <v>6</v>
      </c>
      <c r="D8" s="2">
        <v>33214476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4A10-1492-4242-AA24-4832AB190ECA}">
  <dimension ref="A1:BI67"/>
  <sheetViews>
    <sheetView tabSelected="1" topLeftCell="O1" zoomScale="139" zoomScaleNormal="100" workbookViewId="0">
      <selection activeCell="V19" sqref="V19"/>
    </sheetView>
  </sheetViews>
  <sheetFormatPr baseColWidth="10" defaultColWidth="8.83203125" defaultRowHeight="15" x14ac:dyDescent="0.2"/>
  <cols>
    <col min="1" max="1" width="9.1640625" style="1"/>
    <col min="2" max="2" width="11.6640625" style="1" customWidth="1"/>
    <col min="3" max="3" width="22.33203125" style="21" customWidth="1"/>
    <col min="4" max="4" width="22.5" style="21" customWidth="1"/>
    <col min="5" max="5" width="27.5" style="21" customWidth="1"/>
    <col min="6" max="6" width="30.5" style="1" customWidth="1"/>
    <col min="7" max="7" width="29.33203125" style="1" customWidth="1"/>
    <col min="8" max="8" width="30.1640625" style="1" customWidth="1"/>
    <col min="9" max="9" width="30.33203125" style="1" customWidth="1"/>
    <col min="12" max="12" width="13.6640625" style="1" customWidth="1"/>
    <col min="13" max="13" width="22" customWidth="1"/>
    <col min="14" max="14" width="21.5" customWidth="1"/>
    <col min="15" max="15" width="25.33203125" customWidth="1"/>
    <col min="16" max="16" width="30.6640625" customWidth="1"/>
    <col min="18" max="18" width="26.5" customWidth="1"/>
    <col min="19" max="19" width="28.33203125" customWidth="1"/>
    <col min="20" max="20" width="23.5" customWidth="1"/>
    <col min="21" max="22" width="27.5" customWidth="1"/>
    <col min="25" max="25" width="13.6640625" style="1" customWidth="1"/>
    <col min="26" max="26" width="28.5" customWidth="1"/>
    <col min="27" max="27" width="24.5" customWidth="1"/>
    <col min="28" max="28" width="26" customWidth="1"/>
    <col min="29" max="29" width="29" customWidth="1"/>
    <col min="30" max="30" width="9" style="1" customWidth="1"/>
    <col min="31" max="37" width="10.6640625" style="1" customWidth="1"/>
    <col min="38" max="40" width="12.33203125" style="1" customWidth="1"/>
    <col min="41" max="41" width="10.6640625" style="1" customWidth="1"/>
    <col min="42" max="42" width="13.6640625" style="1" customWidth="1"/>
    <col min="43" max="43" width="22.6640625" customWidth="1"/>
    <col min="44" max="44" width="22.1640625" customWidth="1"/>
    <col min="45" max="45" width="25.33203125" customWidth="1"/>
    <col min="46" max="46" width="8.5" customWidth="1"/>
    <col min="47" max="47" width="10" style="1" customWidth="1"/>
    <col min="48" max="48" width="24.6640625" customWidth="1"/>
    <col min="49" max="50" width="27.5" customWidth="1"/>
    <col min="51" max="51" width="10.33203125" customWidth="1"/>
    <col min="52" max="52" width="30.33203125" customWidth="1"/>
    <col min="53" max="53" width="16" customWidth="1"/>
    <col min="54" max="54" width="16.6640625" customWidth="1"/>
    <col min="55" max="55" width="17.5" customWidth="1"/>
    <col min="56" max="56" width="15.5" customWidth="1"/>
    <col min="57" max="57" width="16.6640625" customWidth="1"/>
    <col min="58" max="58" width="15.1640625" customWidth="1"/>
  </cols>
  <sheetData>
    <row r="1" spans="1:60" ht="24" x14ac:dyDescent="0.2">
      <c r="A1" s="11"/>
      <c r="B1" s="11"/>
      <c r="C1" s="70" t="s">
        <v>7</v>
      </c>
      <c r="D1" s="70"/>
      <c r="E1" s="70"/>
      <c r="F1" s="70"/>
      <c r="G1" s="70"/>
      <c r="H1" s="70"/>
      <c r="I1" s="70"/>
      <c r="K1" s="11"/>
      <c r="L1" s="11"/>
      <c r="M1" s="71" t="s">
        <v>8</v>
      </c>
      <c r="N1" s="71"/>
      <c r="O1" s="71"/>
      <c r="P1" s="71"/>
      <c r="R1" s="69" t="s">
        <v>9</v>
      </c>
      <c r="S1" s="69"/>
      <c r="T1" s="69"/>
      <c r="U1" s="69"/>
      <c r="V1" s="69"/>
      <c r="X1" s="11"/>
      <c r="Y1" s="11"/>
      <c r="Z1" s="73" t="s">
        <v>10</v>
      </c>
      <c r="AA1" s="73"/>
      <c r="AB1" s="73"/>
      <c r="AC1" s="73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11"/>
      <c r="AQ1" s="74" t="s">
        <v>11</v>
      </c>
      <c r="AR1" s="74"/>
      <c r="AS1" s="74"/>
      <c r="AT1" s="57"/>
      <c r="AU1" s="74" t="s">
        <v>12</v>
      </c>
      <c r="AV1" s="74"/>
      <c r="AW1" s="74"/>
      <c r="AX1" s="74"/>
      <c r="AY1" s="57"/>
      <c r="AZ1" s="72" t="s">
        <v>13</v>
      </c>
      <c r="BA1" s="72"/>
      <c r="BB1" s="72"/>
      <c r="BC1" s="72"/>
      <c r="BD1" s="72"/>
      <c r="BE1" s="72"/>
      <c r="BF1" s="72"/>
    </row>
    <row r="2" spans="1:60" ht="16" x14ac:dyDescent="0.2">
      <c r="A2" s="33"/>
      <c r="B2" s="33"/>
      <c r="C2" s="16" t="s">
        <v>14</v>
      </c>
      <c r="D2" s="16" t="s">
        <v>15</v>
      </c>
      <c r="E2" s="16" t="s">
        <v>16</v>
      </c>
      <c r="F2" s="16" t="s">
        <v>17</v>
      </c>
      <c r="G2" s="16" t="s">
        <v>14</v>
      </c>
      <c r="H2" s="16" t="s">
        <v>15</v>
      </c>
      <c r="I2" s="16" t="s">
        <v>16</v>
      </c>
      <c r="J2" s="34"/>
      <c r="K2" s="33"/>
      <c r="L2" s="33"/>
      <c r="M2" s="14" t="s">
        <v>14</v>
      </c>
      <c r="N2" s="14" t="s">
        <v>15</v>
      </c>
      <c r="O2" s="14" t="s">
        <v>16</v>
      </c>
      <c r="P2" s="14" t="s">
        <v>17</v>
      </c>
      <c r="Q2" s="35"/>
      <c r="R2" s="36"/>
      <c r="S2" s="36"/>
      <c r="T2" s="24" t="s">
        <v>18</v>
      </c>
      <c r="U2" s="24" t="s">
        <v>15</v>
      </c>
      <c r="V2" s="24" t="s">
        <v>16</v>
      </c>
      <c r="W2" s="35"/>
      <c r="X2" s="33"/>
      <c r="Y2" s="33"/>
      <c r="Z2" s="22" t="s">
        <v>14</v>
      </c>
      <c r="AA2" s="22" t="s">
        <v>15</v>
      </c>
      <c r="AB2" s="22" t="s">
        <v>16</v>
      </c>
      <c r="AC2" s="22" t="s">
        <v>17</v>
      </c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33"/>
      <c r="AQ2" s="12" t="s">
        <v>14</v>
      </c>
      <c r="AR2" s="12" t="s">
        <v>15</v>
      </c>
      <c r="AS2" s="12" t="s">
        <v>16</v>
      </c>
      <c r="AT2" s="19"/>
      <c r="AU2" s="30"/>
      <c r="AV2" s="12" t="s">
        <v>18</v>
      </c>
      <c r="AW2" s="12" t="s">
        <v>15</v>
      </c>
      <c r="AX2" s="12" t="s">
        <v>16</v>
      </c>
      <c r="AY2" s="19"/>
      <c r="AZ2" s="68" t="s">
        <v>69</v>
      </c>
      <c r="BA2" s="68"/>
      <c r="BB2" s="68"/>
      <c r="BC2" s="68"/>
      <c r="BD2" s="68"/>
      <c r="BE2" s="68"/>
      <c r="BF2" s="68"/>
    </row>
    <row r="3" spans="1:60" ht="16" x14ac:dyDescent="0.2">
      <c r="A3" s="33"/>
      <c r="B3" s="33"/>
      <c r="C3" s="37" t="s">
        <v>19</v>
      </c>
      <c r="D3" s="37" t="s">
        <v>20</v>
      </c>
      <c r="E3" s="37" t="s">
        <v>21</v>
      </c>
      <c r="F3" s="37" t="s">
        <v>22</v>
      </c>
      <c r="G3" s="37" t="s">
        <v>19</v>
      </c>
      <c r="H3" s="37" t="s">
        <v>20</v>
      </c>
      <c r="I3" s="37" t="s">
        <v>21</v>
      </c>
      <c r="J3" s="35"/>
      <c r="K3" s="33"/>
      <c r="L3" s="33"/>
      <c r="M3" s="38" t="s">
        <v>19</v>
      </c>
      <c r="N3" s="38" t="s">
        <v>20</v>
      </c>
      <c r="O3" s="38" t="s">
        <v>21</v>
      </c>
      <c r="P3" s="38" t="s">
        <v>22</v>
      </c>
      <c r="Q3" s="35"/>
      <c r="R3" s="25"/>
      <c r="S3" s="25"/>
      <c r="T3" s="38" t="s">
        <v>19</v>
      </c>
      <c r="U3" s="38" t="s">
        <v>20</v>
      </c>
      <c r="V3" s="38" t="s">
        <v>21</v>
      </c>
      <c r="W3" s="35"/>
      <c r="X3" s="33"/>
      <c r="Y3" s="33"/>
      <c r="Z3" s="39" t="s">
        <v>19</v>
      </c>
      <c r="AA3" s="39" t="s">
        <v>20</v>
      </c>
      <c r="AB3" s="39" t="s">
        <v>21</v>
      </c>
      <c r="AC3" s="39" t="s">
        <v>22</v>
      </c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0" t="s">
        <v>19</v>
      </c>
      <c r="AR3" s="30" t="s">
        <v>20</v>
      </c>
      <c r="AS3" s="30" t="s">
        <v>21</v>
      </c>
      <c r="AT3" s="33"/>
      <c r="AU3" s="20"/>
      <c r="AV3" s="30" t="s">
        <v>19</v>
      </c>
      <c r="AW3" s="30" t="s">
        <v>20</v>
      </c>
      <c r="AX3" s="30" t="s">
        <v>21</v>
      </c>
      <c r="AY3" s="33"/>
      <c r="AZ3" s="9" t="s">
        <v>7</v>
      </c>
      <c r="BA3" s="10">
        <v>2019</v>
      </c>
      <c r="BB3" s="10">
        <v>2020</v>
      </c>
      <c r="BC3" s="10">
        <v>2021</v>
      </c>
      <c r="BD3" s="10">
        <v>2022</v>
      </c>
      <c r="BE3" s="10">
        <v>2023</v>
      </c>
      <c r="BF3" s="10">
        <v>2024</v>
      </c>
    </row>
    <row r="4" spans="1:60" ht="15.75" customHeight="1" x14ac:dyDescent="0.2">
      <c r="A4" s="33"/>
      <c r="B4" s="33"/>
      <c r="C4" s="37" t="s">
        <v>23</v>
      </c>
      <c r="D4" s="37" t="s">
        <v>24</v>
      </c>
      <c r="E4" s="37" t="s">
        <v>25</v>
      </c>
      <c r="F4" s="37" t="s">
        <v>26</v>
      </c>
      <c r="G4" s="37" t="s">
        <v>23</v>
      </c>
      <c r="H4" s="37" t="s">
        <v>24</v>
      </c>
      <c r="I4" s="37" t="s">
        <v>25</v>
      </c>
      <c r="J4" s="35"/>
      <c r="K4" s="33"/>
      <c r="L4" s="33"/>
      <c r="M4" s="38" t="s">
        <v>23</v>
      </c>
      <c r="N4" s="38" t="s">
        <v>24</v>
      </c>
      <c r="O4" s="38" t="s">
        <v>25</v>
      </c>
      <c r="P4" s="38" t="s">
        <v>26</v>
      </c>
      <c r="Q4" s="35"/>
      <c r="R4" s="25"/>
      <c r="S4" s="25"/>
      <c r="T4" s="38" t="s">
        <v>23</v>
      </c>
      <c r="U4" s="38" t="s">
        <v>24</v>
      </c>
      <c r="V4" s="38" t="s">
        <v>25</v>
      </c>
      <c r="W4" s="35"/>
      <c r="X4" s="33"/>
      <c r="Y4" s="33"/>
      <c r="Z4" s="39" t="s">
        <v>23</v>
      </c>
      <c r="AA4" s="39" t="s">
        <v>24</v>
      </c>
      <c r="AB4" s="39" t="s">
        <v>25</v>
      </c>
      <c r="AC4" s="39" t="s">
        <v>26</v>
      </c>
      <c r="AD4" s="33"/>
      <c r="AE4" s="75" t="s">
        <v>27</v>
      </c>
      <c r="AF4" s="75"/>
      <c r="AG4" s="75"/>
      <c r="AH4" s="75"/>
      <c r="AI4" s="75"/>
      <c r="AJ4" s="75"/>
      <c r="AK4" s="75"/>
      <c r="AL4" s="75"/>
      <c r="AM4" s="75"/>
      <c r="AN4" s="33"/>
      <c r="AO4" s="33"/>
      <c r="AP4" s="33"/>
      <c r="AQ4" s="30" t="s">
        <v>23</v>
      </c>
      <c r="AR4" s="30" t="s">
        <v>24</v>
      </c>
      <c r="AS4" s="30" t="s">
        <v>25</v>
      </c>
      <c r="AT4" s="33"/>
      <c r="AU4" s="20"/>
      <c r="AV4" s="30" t="s">
        <v>23</v>
      </c>
      <c r="AW4" s="30" t="s">
        <v>24</v>
      </c>
      <c r="AX4" s="30" t="s">
        <v>25</v>
      </c>
      <c r="AY4" s="33"/>
      <c r="AZ4" s="7" t="s">
        <v>28</v>
      </c>
      <c r="BA4" s="67">
        <f>C6</f>
        <v>147</v>
      </c>
      <c r="BB4" s="66">
        <f>C18</f>
        <v>138.9</v>
      </c>
      <c r="BC4" s="66">
        <f>C30</f>
        <v>134.19999999999999</v>
      </c>
      <c r="BD4" s="67">
        <f>C42</f>
        <v>140</v>
      </c>
      <c r="BE4" s="66">
        <f>C54</f>
        <v>117.6</v>
      </c>
      <c r="BF4" s="65">
        <f>C66</f>
        <v>99.98</v>
      </c>
    </row>
    <row r="5" spans="1:60" ht="17" x14ac:dyDescent="0.2">
      <c r="A5" s="37" t="s">
        <v>29</v>
      </c>
      <c r="B5" s="37" t="s">
        <v>30</v>
      </c>
      <c r="C5" s="40" t="s">
        <v>31</v>
      </c>
      <c r="D5" s="40" t="s">
        <v>31</v>
      </c>
      <c r="E5" s="40" t="s">
        <v>31</v>
      </c>
      <c r="F5" s="37" t="s">
        <v>32</v>
      </c>
      <c r="G5" s="37" t="s">
        <v>33</v>
      </c>
      <c r="H5" s="37" t="s">
        <v>33</v>
      </c>
      <c r="I5" s="37" t="s">
        <v>33</v>
      </c>
      <c r="J5" s="35"/>
      <c r="K5" s="38" t="s">
        <v>29</v>
      </c>
      <c r="L5" s="38" t="s">
        <v>30</v>
      </c>
      <c r="M5" s="38" t="s">
        <v>34</v>
      </c>
      <c r="N5" s="38" t="s">
        <v>34</v>
      </c>
      <c r="O5" s="38" t="s">
        <v>34</v>
      </c>
      <c r="P5" s="38" t="s">
        <v>34</v>
      </c>
      <c r="Q5" s="35"/>
      <c r="R5" s="26" t="s">
        <v>35</v>
      </c>
      <c r="S5" s="26" t="s">
        <v>36</v>
      </c>
      <c r="T5" s="55">
        <f>MAX(C6:C66)</f>
        <v>147</v>
      </c>
      <c r="U5" s="55">
        <f>MAX(D6:D66)</f>
        <v>49.1</v>
      </c>
      <c r="V5" s="55">
        <f>MAX(E6:E66)</f>
        <v>2.0299999999999998</v>
      </c>
      <c r="W5" s="35"/>
      <c r="X5" s="39" t="s">
        <v>29</v>
      </c>
      <c r="Y5" s="39" t="s">
        <v>30</v>
      </c>
      <c r="Z5" s="39" t="s">
        <v>37</v>
      </c>
      <c r="AA5" s="39" t="s">
        <v>37</v>
      </c>
      <c r="AB5" s="39" t="s">
        <v>37</v>
      </c>
      <c r="AC5" s="39" t="s">
        <v>37</v>
      </c>
      <c r="AD5" s="33"/>
      <c r="AE5" s="75"/>
      <c r="AF5" s="75"/>
      <c r="AG5" s="75"/>
      <c r="AH5" s="75"/>
      <c r="AI5" s="75"/>
      <c r="AJ5" s="75"/>
      <c r="AK5" s="75"/>
      <c r="AL5" s="75"/>
      <c r="AM5" s="75"/>
      <c r="AN5" s="33"/>
      <c r="AO5" s="30" t="s">
        <v>29</v>
      </c>
      <c r="AP5" s="30" t="s">
        <v>30</v>
      </c>
      <c r="AQ5" s="30" t="s">
        <v>37</v>
      </c>
      <c r="AR5" s="30" t="s">
        <v>37</v>
      </c>
      <c r="AS5" s="30" t="s">
        <v>37</v>
      </c>
      <c r="AT5" s="33"/>
      <c r="AU5" s="12" t="s">
        <v>38</v>
      </c>
      <c r="AV5" s="30" t="s">
        <v>37</v>
      </c>
      <c r="AW5" s="30" t="s">
        <v>37</v>
      </c>
      <c r="AX5" s="30" t="s">
        <v>37</v>
      </c>
      <c r="AY5" s="33"/>
      <c r="AZ5" s="7" t="s">
        <v>39</v>
      </c>
      <c r="BA5" s="59">
        <v>2.87</v>
      </c>
      <c r="BB5" s="58">
        <v>2.3570000000000002</v>
      </c>
      <c r="BC5" s="59">
        <v>2.4300000000000002</v>
      </c>
      <c r="BD5" s="58">
        <v>2.645</v>
      </c>
      <c r="BE5" s="58">
        <v>2.8140000000000001</v>
      </c>
      <c r="BF5" s="58">
        <v>1.772</v>
      </c>
    </row>
    <row r="6" spans="1:60" ht="16" x14ac:dyDescent="0.2">
      <c r="A6" s="37">
        <v>1</v>
      </c>
      <c r="B6" s="17">
        <v>43830</v>
      </c>
      <c r="C6" s="56">
        <v>147</v>
      </c>
      <c r="D6" s="56">
        <v>49.1</v>
      </c>
      <c r="E6" s="56">
        <v>0.64500000000000002</v>
      </c>
      <c r="F6" s="56">
        <v>1588.76</v>
      </c>
      <c r="G6" s="41">
        <v>234500</v>
      </c>
      <c r="H6" s="28">
        <v>64000</v>
      </c>
      <c r="I6" s="42">
        <v>240000</v>
      </c>
      <c r="J6" s="35"/>
      <c r="K6" s="38">
        <v>0</v>
      </c>
      <c r="L6" s="15">
        <v>43830</v>
      </c>
      <c r="M6" s="43"/>
      <c r="N6" s="43"/>
      <c r="O6" s="43"/>
      <c r="P6" s="43"/>
      <c r="Q6" s="35"/>
      <c r="R6" s="26" t="s">
        <v>40</v>
      </c>
      <c r="S6" s="26" t="s">
        <v>41</v>
      </c>
      <c r="T6" s="55">
        <f>MIN(C6:C66)</f>
        <v>96.7</v>
      </c>
      <c r="U6" s="55">
        <f>MIN(D6:D66)</f>
        <v>21.32</v>
      </c>
      <c r="V6" s="55">
        <f>MIN(E6:E66)</f>
        <v>0.56999999999999995</v>
      </c>
      <c r="W6" s="35"/>
      <c r="X6" s="39">
        <v>0</v>
      </c>
      <c r="Y6" s="23">
        <v>43830</v>
      </c>
      <c r="Z6" s="44">
        <v>1</v>
      </c>
      <c r="AA6" s="44">
        <v>1</v>
      </c>
      <c r="AB6" s="44">
        <v>1</v>
      </c>
      <c r="AC6" s="44">
        <v>1</v>
      </c>
      <c r="AD6" s="45"/>
      <c r="AF6" s="45"/>
      <c r="AG6" s="45"/>
      <c r="AH6" s="45"/>
      <c r="AI6" s="45"/>
      <c r="AJ6" s="45"/>
      <c r="AK6" s="45"/>
      <c r="AL6" s="45"/>
      <c r="AM6" s="45"/>
      <c r="AN6" s="45"/>
      <c r="AO6" s="46">
        <v>0</v>
      </c>
      <c r="AP6" s="27">
        <v>43830</v>
      </c>
      <c r="AQ6" s="47"/>
      <c r="AR6" s="47"/>
      <c r="AS6" s="47"/>
      <c r="AT6" s="48"/>
      <c r="AU6" s="30">
        <v>2020</v>
      </c>
      <c r="AV6" s="29">
        <f>AQ18</f>
        <v>32572050</v>
      </c>
      <c r="AW6" s="29">
        <f>AR18</f>
        <v>2400000</v>
      </c>
      <c r="AX6" s="29">
        <f>AS9</f>
        <v>136800</v>
      </c>
      <c r="AY6" s="48"/>
      <c r="AZ6" s="7" t="s">
        <v>42</v>
      </c>
      <c r="BA6" s="60">
        <v>672913</v>
      </c>
      <c r="BB6" s="60">
        <v>552713</v>
      </c>
      <c r="BC6" s="60">
        <v>569811</v>
      </c>
      <c r="BD6" s="60">
        <v>620334</v>
      </c>
      <c r="BE6" s="60">
        <v>659870</v>
      </c>
      <c r="BF6" s="60">
        <v>415623</v>
      </c>
    </row>
    <row r="7" spans="1:60" ht="16" x14ac:dyDescent="0.2">
      <c r="A7" s="37">
        <v>2</v>
      </c>
      <c r="B7" s="17">
        <v>43861</v>
      </c>
      <c r="C7" s="56">
        <v>144.30000000000001</v>
      </c>
      <c r="D7" s="56">
        <v>41</v>
      </c>
      <c r="E7" s="56">
        <v>0.63</v>
      </c>
      <c r="F7" s="56">
        <v>1531.06</v>
      </c>
      <c r="G7" s="41">
        <v>234500</v>
      </c>
      <c r="H7" s="28">
        <v>64000</v>
      </c>
      <c r="I7" s="42">
        <v>240000</v>
      </c>
      <c r="J7" s="35"/>
      <c r="K7" s="38">
        <v>1</v>
      </c>
      <c r="L7" s="15">
        <v>43861</v>
      </c>
      <c r="M7" s="49">
        <f>(C7-C6)/C6</f>
        <v>-1.8367346938775432E-2</v>
      </c>
      <c r="N7" s="49">
        <f>(D7-D6)/D6</f>
        <v>-0.16496945010183303</v>
      </c>
      <c r="O7" s="49">
        <f>(E7-E6)/E6</f>
        <v>-2.3255813953488393E-2</v>
      </c>
      <c r="P7" s="49">
        <f t="shared" ref="P7:P38" si="0">(F7-F6)/F6</f>
        <v>-3.6317631360306177E-2</v>
      </c>
      <c r="Q7" s="35"/>
      <c r="R7" s="26" t="s">
        <v>43</v>
      </c>
      <c r="S7" s="26" t="s">
        <v>44</v>
      </c>
      <c r="T7" s="49">
        <f>AVERAGE(M7:M66)</f>
        <v>-5.992912953856005E-3</v>
      </c>
      <c r="U7" s="49">
        <f>AVERAGE(N7:N66)</f>
        <v>-6.1129148297303145E-3</v>
      </c>
      <c r="V7" s="49">
        <f>AVERAGE(O7:O66)</f>
        <v>1.8945796878293779E-2</v>
      </c>
      <c r="W7" s="35"/>
      <c r="X7" s="39">
        <v>1</v>
      </c>
      <c r="Y7" s="23">
        <v>43861</v>
      </c>
      <c r="Z7" s="44">
        <f>Z6*(1+M7)</f>
        <v>0.9816326530612246</v>
      </c>
      <c r="AA7" s="44">
        <f>AA6*(1+N7)</f>
        <v>0.83503054989816694</v>
      </c>
      <c r="AB7" s="44">
        <f>AB6*(1+O7)</f>
        <v>0.97674418604651159</v>
      </c>
      <c r="AC7" s="44">
        <f>AC6*(1+P7)</f>
        <v>0.96368236863969381</v>
      </c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6">
        <v>1</v>
      </c>
      <c r="AP7" s="27">
        <v>43861</v>
      </c>
      <c r="AQ7" s="29">
        <f t="shared" ref="AQ7:AQ38" si="1">C7*G7</f>
        <v>33838350</v>
      </c>
      <c r="AR7" s="29">
        <f t="shared" ref="AR7:AR38" si="2">D7*H7</f>
        <v>2624000</v>
      </c>
      <c r="AS7" s="29">
        <f t="shared" ref="AS7:AS38" si="3">E7*I7</f>
        <v>151200</v>
      </c>
      <c r="AT7" s="45"/>
      <c r="AU7" s="30">
        <v>2021</v>
      </c>
      <c r="AV7" s="29">
        <f>AQ30</f>
        <v>31469899.999999996</v>
      </c>
      <c r="AW7" s="29">
        <f>AR30</f>
        <v>2145280</v>
      </c>
      <c r="AX7" s="29">
        <f>AS21</f>
        <v>199200</v>
      </c>
      <c r="AY7" s="45"/>
      <c r="AZ7" s="7" t="s">
        <v>45</v>
      </c>
      <c r="BA7" s="60">
        <v>5518076</v>
      </c>
      <c r="BB7" s="60">
        <v>5412180</v>
      </c>
      <c r="BC7" s="60">
        <v>5733816</v>
      </c>
      <c r="BD7" s="60">
        <v>6664145</v>
      </c>
      <c r="BE7" s="60">
        <v>7050879</v>
      </c>
      <c r="BF7" s="60">
        <v>6224745</v>
      </c>
      <c r="BH7" s="31"/>
    </row>
    <row r="8" spans="1:60" ht="16" x14ac:dyDescent="0.2">
      <c r="A8" s="37">
        <v>3</v>
      </c>
      <c r="B8" s="17">
        <v>43889</v>
      </c>
      <c r="C8" s="56">
        <v>143</v>
      </c>
      <c r="D8" s="56">
        <v>42.54</v>
      </c>
      <c r="E8" s="56">
        <v>0.65</v>
      </c>
      <c r="F8" s="56">
        <v>1482.64</v>
      </c>
      <c r="G8" s="41">
        <v>234500</v>
      </c>
      <c r="H8" s="28">
        <v>64000</v>
      </c>
      <c r="I8" s="42">
        <v>240000</v>
      </c>
      <c r="J8" s="35"/>
      <c r="K8" s="38">
        <v>2</v>
      </c>
      <c r="L8" s="15">
        <v>43889</v>
      </c>
      <c r="M8" s="49">
        <f t="shared" ref="M8:M39" si="4">(C8-C7)/C7</f>
        <v>-9.009009009009087E-3</v>
      </c>
      <c r="N8" s="49">
        <f t="shared" ref="N8:N66" si="5">(D8-D7)/D7</f>
        <v>3.7560975609756075E-2</v>
      </c>
      <c r="O8" s="49">
        <f t="shared" ref="O8:O66" si="6">(E8-E7)/E7</f>
        <v>3.1746031746031772E-2</v>
      </c>
      <c r="P8" s="49">
        <f t="shared" si="0"/>
        <v>-3.1625148589865745E-2</v>
      </c>
      <c r="Q8" s="35"/>
      <c r="R8" s="26" t="s">
        <v>46</v>
      </c>
      <c r="S8" s="26" t="s">
        <v>47</v>
      </c>
      <c r="T8" s="49">
        <f>_xlfn.STDEV.S(M7:M66)</f>
        <v>2.8701402716162155E-2</v>
      </c>
      <c r="U8" s="49">
        <f>_xlfn.STDEV.S(N7:N66)</f>
        <v>6.4136658390527249E-2</v>
      </c>
      <c r="V8" s="49">
        <f>_xlfn.STDEV.S(O7:O66)</f>
        <v>8.3712284499570827E-2</v>
      </c>
      <c r="W8" s="35"/>
      <c r="X8" s="39">
        <v>2</v>
      </c>
      <c r="Y8" s="23">
        <v>43889</v>
      </c>
      <c r="Z8" s="44">
        <f t="shared" ref="Z8:Z66" si="7">Z7*(1+M8)</f>
        <v>0.97278911564625847</v>
      </c>
      <c r="AA8" s="44">
        <f t="shared" ref="AA8:AA66" si="8">AA7*(1+N8)</f>
        <v>0.86639511201629327</v>
      </c>
      <c r="AB8" s="44">
        <f t="shared" ref="AB8:AB66" si="9">AB7*(1+O8)</f>
        <v>1.0077519379844961</v>
      </c>
      <c r="AC8" s="44">
        <f t="shared" ref="AC8:AC66" si="10">AC7*(1+P8)</f>
        <v>0.93320577053802967</v>
      </c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6">
        <v>2</v>
      </c>
      <c r="AP8" s="27">
        <v>43889</v>
      </c>
      <c r="AQ8" s="29">
        <f t="shared" si="1"/>
        <v>33533500</v>
      </c>
      <c r="AR8" s="29">
        <f t="shared" si="2"/>
        <v>2722560</v>
      </c>
      <c r="AS8" s="29">
        <f t="shared" si="3"/>
        <v>156000</v>
      </c>
      <c r="AT8" s="45"/>
      <c r="AU8" s="30">
        <v>2022</v>
      </c>
      <c r="AV8" s="29">
        <f>AQ42</f>
        <v>32830000</v>
      </c>
      <c r="AW8" s="29">
        <f>AR42</f>
        <v>1935360</v>
      </c>
      <c r="AX8" s="29">
        <f>AS33</f>
        <v>247200</v>
      </c>
      <c r="AY8" s="45"/>
      <c r="AZ8" s="7" t="s">
        <v>48</v>
      </c>
      <c r="BA8" s="60">
        <v>2726538</v>
      </c>
      <c r="BB8" s="60">
        <v>2861371</v>
      </c>
      <c r="BC8" s="60">
        <v>2984831</v>
      </c>
      <c r="BD8" s="60">
        <v>3554011</v>
      </c>
      <c r="BE8" s="60">
        <v>3569222</v>
      </c>
      <c r="BF8" s="60">
        <v>3649738</v>
      </c>
      <c r="BH8" s="31"/>
    </row>
    <row r="9" spans="1:60" ht="16" x14ac:dyDescent="0.2">
      <c r="A9" s="37">
        <v>4</v>
      </c>
      <c r="B9" s="17">
        <v>43921</v>
      </c>
      <c r="C9" s="56">
        <v>136.69999999999999</v>
      </c>
      <c r="D9" s="56">
        <v>43.3</v>
      </c>
      <c r="E9" s="56">
        <v>0.56999999999999995</v>
      </c>
      <c r="F9" s="56">
        <v>1350.89</v>
      </c>
      <c r="G9" s="41">
        <v>234500</v>
      </c>
      <c r="H9" s="28">
        <v>64000</v>
      </c>
      <c r="I9" s="42">
        <v>240000</v>
      </c>
      <c r="J9" s="35"/>
      <c r="K9" s="38">
        <v>3</v>
      </c>
      <c r="L9" s="15">
        <v>43921</v>
      </c>
      <c r="M9" s="49">
        <f t="shared" si="4"/>
        <v>-4.4055944055944138E-2</v>
      </c>
      <c r="N9" s="49">
        <f t="shared" si="5"/>
        <v>1.7865538316878187E-2</v>
      </c>
      <c r="O9" s="49">
        <f t="shared" si="6"/>
        <v>-0.12307692307692318</v>
      </c>
      <c r="P9" s="49">
        <f t="shared" si="0"/>
        <v>-8.8861760103598975E-2</v>
      </c>
      <c r="Q9" s="35"/>
      <c r="R9" s="26" t="s">
        <v>49</v>
      </c>
      <c r="S9" s="26" t="s">
        <v>50</v>
      </c>
      <c r="T9" s="49">
        <f>AVERAGE(M7:M66)*12</f>
        <v>-7.1914955446272064E-2</v>
      </c>
      <c r="U9" s="49">
        <f>AVERAGE(N7:N66)*12</f>
        <v>-7.3354977956763767E-2</v>
      </c>
      <c r="V9" s="49">
        <f>AVERAGE(O7:O66)*12</f>
        <v>0.22734956253952535</v>
      </c>
      <c r="W9" s="35"/>
      <c r="X9" s="39">
        <v>3</v>
      </c>
      <c r="Y9" s="23">
        <v>43921</v>
      </c>
      <c r="Z9" s="44">
        <f t="shared" si="7"/>
        <v>0.92993197278911555</v>
      </c>
      <c r="AA9" s="44">
        <f t="shared" si="8"/>
        <v>0.88187372708757639</v>
      </c>
      <c r="AB9" s="44">
        <f t="shared" si="9"/>
        <v>0.88372093023255804</v>
      </c>
      <c r="AC9" s="44">
        <f t="shared" si="10"/>
        <v>0.85027946322918502</v>
      </c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6">
        <v>3</v>
      </c>
      <c r="AP9" s="27">
        <v>43921</v>
      </c>
      <c r="AQ9" s="29">
        <f t="shared" si="1"/>
        <v>32056149.999999996</v>
      </c>
      <c r="AR9" s="29">
        <f t="shared" si="2"/>
        <v>2771200</v>
      </c>
      <c r="AS9" s="29">
        <f t="shared" si="3"/>
        <v>136800</v>
      </c>
      <c r="AT9" s="45"/>
      <c r="AU9" s="30">
        <v>2023</v>
      </c>
      <c r="AV9" s="29">
        <f>AQ54</f>
        <v>27577200</v>
      </c>
      <c r="AW9" s="29">
        <f>AR54</f>
        <v>1482240</v>
      </c>
      <c r="AX9" s="29">
        <f>AS45</f>
        <v>273600</v>
      </c>
      <c r="AY9" s="45"/>
      <c r="AZ9" s="7" t="s">
        <v>51</v>
      </c>
      <c r="BA9" s="60">
        <v>664924</v>
      </c>
      <c r="BB9" s="60">
        <v>557136</v>
      </c>
      <c r="BC9" s="60">
        <v>582697</v>
      </c>
      <c r="BD9" s="60">
        <v>626316</v>
      </c>
      <c r="BE9" s="60">
        <v>674896</v>
      </c>
      <c r="BF9" s="60">
        <v>547549</v>
      </c>
      <c r="BH9" s="31"/>
    </row>
    <row r="10" spans="1:60" ht="16" x14ac:dyDescent="0.2">
      <c r="A10" s="37">
        <v>5</v>
      </c>
      <c r="B10" s="17">
        <v>43951</v>
      </c>
      <c r="C10" s="56">
        <v>140.1</v>
      </c>
      <c r="D10" s="56">
        <v>48.1</v>
      </c>
      <c r="E10" s="56">
        <v>0.67</v>
      </c>
      <c r="F10" s="56">
        <v>1407.78</v>
      </c>
      <c r="G10" s="41">
        <v>234500</v>
      </c>
      <c r="H10" s="28">
        <v>64000</v>
      </c>
      <c r="I10" s="42">
        <v>240000</v>
      </c>
      <c r="J10" s="35"/>
      <c r="K10" s="38">
        <v>4</v>
      </c>
      <c r="L10" s="15">
        <v>43951</v>
      </c>
      <c r="M10" s="49">
        <f t="shared" si="4"/>
        <v>2.4871982443306555E-2</v>
      </c>
      <c r="N10" s="49">
        <f t="shared" si="5"/>
        <v>0.11085450346420334</v>
      </c>
      <c r="O10" s="49">
        <f t="shared" si="6"/>
        <v>0.17543859649122825</v>
      </c>
      <c r="P10" s="49">
        <f t="shared" si="0"/>
        <v>4.2112977370474182E-2</v>
      </c>
      <c r="Q10" s="35"/>
      <c r="R10" s="26" t="s">
        <v>52</v>
      </c>
      <c r="S10" s="26" t="s">
        <v>53</v>
      </c>
      <c r="T10" s="49">
        <f>_xlfn.STDEV.S(M7:M66)*SQRT(12)</f>
        <v>9.942457550577645E-2</v>
      </c>
      <c r="U10" s="49">
        <f>_xlfn.STDEV.S(N7:N66)*SQRT(12)</f>
        <v>0.22217590192016384</v>
      </c>
      <c r="V10" s="49">
        <f>_xlfn.STDEV.S(O7:O66)*SQRT(12)</f>
        <v>0.28998785994183451</v>
      </c>
      <c r="W10" s="35"/>
      <c r="X10" s="39">
        <v>4</v>
      </c>
      <c r="Y10" s="23">
        <v>43951</v>
      </c>
      <c r="Z10" s="44">
        <f t="shared" si="7"/>
        <v>0.95306122448979591</v>
      </c>
      <c r="AA10" s="44">
        <f t="shared" si="8"/>
        <v>0.97963340122199616</v>
      </c>
      <c r="AB10" s="44">
        <f t="shared" si="9"/>
        <v>1.0387596899224807</v>
      </c>
      <c r="AC10" s="44">
        <f t="shared" si="10"/>
        <v>0.88608726302273466</v>
      </c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6">
        <v>4</v>
      </c>
      <c r="AP10" s="27">
        <v>43951</v>
      </c>
      <c r="AQ10" s="29">
        <f t="shared" si="1"/>
        <v>32853450</v>
      </c>
      <c r="AR10" s="29">
        <f t="shared" si="2"/>
        <v>3078400</v>
      </c>
      <c r="AS10" s="29">
        <f t="shared" si="3"/>
        <v>160800</v>
      </c>
      <c r="AT10" s="45"/>
      <c r="AU10" s="30">
        <v>2024</v>
      </c>
      <c r="AV10" s="29">
        <f>AQ66</f>
        <v>23445310</v>
      </c>
      <c r="AW10" s="29">
        <f>AR66</f>
        <v>1931520</v>
      </c>
      <c r="AX10" s="29">
        <f>AS57</f>
        <v>477600</v>
      </c>
      <c r="AY10" s="45"/>
      <c r="BA10" s="11"/>
      <c r="BB10" s="11"/>
      <c r="BC10" s="11"/>
      <c r="BD10" s="11"/>
      <c r="BE10" s="11"/>
      <c r="BF10" s="11"/>
      <c r="BH10" s="31"/>
    </row>
    <row r="11" spans="1:60" ht="16" x14ac:dyDescent="0.2">
      <c r="A11" s="37">
        <v>6</v>
      </c>
      <c r="B11" s="17">
        <v>43980</v>
      </c>
      <c r="C11" s="56">
        <v>139</v>
      </c>
      <c r="D11" s="56">
        <v>44.88</v>
      </c>
      <c r="E11" s="56">
        <v>0.77</v>
      </c>
      <c r="F11" s="56">
        <v>1473.25</v>
      </c>
      <c r="G11" s="41">
        <v>234500</v>
      </c>
      <c r="H11" s="28">
        <v>64000</v>
      </c>
      <c r="I11" s="42">
        <v>240000</v>
      </c>
      <c r="J11" s="35"/>
      <c r="K11" s="38">
        <v>5</v>
      </c>
      <c r="L11" s="15">
        <v>43980</v>
      </c>
      <c r="M11" s="49">
        <f t="shared" si="4"/>
        <v>-7.851534618129867E-3</v>
      </c>
      <c r="N11" s="49">
        <f t="shared" si="5"/>
        <v>-6.694386694386692E-2</v>
      </c>
      <c r="O11" s="49">
        <f t="shared" si="6"/>
        <v>0.14925373134328354</v>
      </c>
      <c r="P11" s="49">
        <f t="shared" si="0"/>
        <v>4.6505846083905178E-2</v>
      </c>
      <c r="Q11" s="35"/>
      <c r="R11" s="26" t="s">
        <v>54</v>
      </c>
      <c r="S11" s="26" t="s">
        <v>55</v>
      </c>
      <c r="T11" s="49">
        <f>T10/T9</f>
        <v>-1.3825298908800261</v>
      </c>
      <c r="U11" s="49">
        <f>U10/U9</f>
        <v>-3.0287774341792697</v>
      </c>
      <c r="V11" s="49">
        <f>V10/V9</f>
        <v>1.2755153636656738</v>
      </c>
      <c r="W11" s="35"/>
      <c r="X11" s="39">
        <v>5</v>
      </c>
      <c r="Y11" s="23">
        <v>43980</v>
      </c>
      <c r="Z11" s="44">
        <f t="shared" si="7"/>
        <v>0.94557823129251706</v>
      </c>
      <c r="AA11" s="44">
        <f t="shared" si="8"/>
        <v>0.91405295315682311</v>
      </c>
      <c r="AB11" s="44">
        <f t="shared" si="9"/>
        <v>1.1937984496124032</v>
      </c>
      <c r="AC11" s="44">
        <f t="shared" si="10"/>
        <v>0.92729550089377877</v>
      </c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6">
        <v>5</v>
      </c>
      <c r="AP11" s="27">
        <v>43980</v>
      </c>
      <c r="AQ11" s="29">
        <f t="shared" si="1"/>
        <v>32595500</v>
      </c>
      <c r="AR11" s="29">
        <f t="shared" si="2"/>
        <v>2872320</v>
      </c>
      <c r="AS11" s="29">
        <f t="shared" si="3"/>
        <v>184800</v>
      </c>
      <c r="AT11" s="45"/>
      <c r="AU11" s="19"/>
      <c r="AV11" s="45"/>
      <c r="AW11" s="45"/>
      <c r="AX11" s="45"/>
      <c r="AY11" s="45"/>
      <c r="AZ11" s="9" t="s">
        <v>56</v>
      </c>
      <c r="BA11" s="10">
        <v>2020</v>
      </c>
      <c r="BB11" s="10">
        <v>2021</v>
      </c>
      <c r="BC11" s="10">
        <v>2022</v>
      </c>
      <c r="BD11" s="10">
        <v>2023</v>
      </c>
      <c r="BE11" s="10">
        <v>2024</v>
      </c>
      <c r="BH11" s="31"/>
    </row>
    <row r="12" spans="1:60" ht="16" x14ac:dyDescent="0.2">
      <c r="A12" s="37">
        <v>7</v>
      </c>
      <c r="B12" s="17">
        <v>44012</v>
      </c>
      <c r="C12" s="56">
        <v>139.9</v>
      </c>
      <c r="D12" s="56">
        <v>43.2</v>
      </c>
      <c r="E12" s="56">
        <v>0.70499999999999996</v>
      </c>
      <c r="F12" s="56">
        <v>1500.97</v>
      </c>
      <c r="G12" s="41">
        <v>234500</v>
      </c>
      <c r="H12" s="28">
        <v>64000</v>
      </c>
      <c r="I12" s="42">
        <v>240000</v>
      </c>
      <c r="J12" s="35"/>
      <c r="K12" s="38">
        <v>6</v>
      </c>
      <c r="L12" s="15">
        <v>44012</v>
      </c>
      <c r="M12" s="49">
        <f t="shared" si="4"/>
        <v>6.4748201438849327E-3</v>
      </c>
      <c r="N12" s="49">
        <f t="shared" si="5"/>
        <v>-3.7433155080213894E-2</v>
      </c>
      <c r="O12" s="49">
        <f t="shared" si="6"/>
        <v>-8.4415584415584485E-2</v>
      </c>
      <c r="P12" s="49">
        <f t="shared" si="0"/>
        <v>1.8815543865603277E-2</v>
      </c>
      <c r="Q12" s="35"/>
      <c r="R12" s="26" t="s">
        <v>57</v>
      </c>
      <c r="S12" s="26" t="s">
        <v>58</v>
      </c>
      <c r="T12" s="49">
        <f>_xlfn.COVARIANCE.S(P7:P66,M7:M66)</f>
        <v>3.8998812379491829E-4</v>
      </c>
      <c r="U12" s="49">
        <f>_xlfn.COVARIANCE.S(P7:P66,N7:N66)</f>
        <v>3.6507117768118705E-4</v>
      </c>
      <c r="V12" s="49">
        <f>_xlfn.COVARIANCE.S(P7:P66,O7:O66)</f>
        <v>1.0197288533161817E-3</v>
      </c>
      <c r="W12" s="35"/>
      <c r="X12" s="39">
        <v>6</v>
      </c>
      <c r="Y12" s="23">
        <v>44012</v>
      </c>
      <c r="Z12" s="44">
        <f t="shared" si="7"/>
        <v>0.95170068027210886</v>
      </c>
      <c r="AA12" s="44">
        <f t="shared" si="8"/>
        <v>0.87983706720977617</v>
      </c>
      <c r="AB12" s="44">
        <f t="shared" si="9"/>
        <v>1.0930232558139534</v>
      </c>
      <c r="AC12" s="44">
        <f t="shared" si="10"/>
        <v>0.94474307006722225</v>
      </c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6">
        <v>6</v>
      </c>
      <c r="AP12" s="27">
        <v>44012</v>
      </c>
      <c r="AQ12" s="29">
        <f t="shared" si="1"/>
        <v>32806550</v>
      </c>
      <c r="AR12" s="29">
        <f t="shared" si="2"/>
        <v>2764800</v>
      </c>
      <c r="AS12" s="29">
        <f t="shared" si="3"/>
        <v>169200</v>
      </c>
      <c r="AT12" s="45"/>
      <c r="AU12" s="19"/>
      <c r="AV12" s="45"/>
      <c r="AW12" s="45"/>
      <c r="AX12" s="45"/>
      <c r="AY12" s="45"/>
      <c r="AZ12" s="7" t="s">
        <v>59</v>
      </c>
      <c r="BA12" s="54">
        <f>(BA8+BB8)/2</f>
        <v>2793954.5</v>
      </c>
      <c r="BB12" s="54">
        <f t="shared" ref="BB12:BD12" si="11">(BB8+BC8)/2</f>
        <v>2923101</v>
      </c>
      <c r="BC12" s="54">
        <f t="shared" si="11"/>
        <v>3269421</v>
      </c>
      <c r="BD12" s="54">
        <f t="shared" si="11"/>
        <v>3561616.5</v>
      </c>
      <c r="BE12" s="54">
        <f>(BE8+BF8)/2</f>
        <v>3609480</v>
      </c>
      <c r="BF12" s="1"/>
      <c r="BH12" s="31"/>
    </row>
    <row r="13" spans="1:60" ht="16" x14ac:dyDescent="0.2">
      <c r="A13" s="37">
        <v>8</v>
      </c>
      <c r="B13" s="17">
        <v>44043</v>
      </c>
      <c r="C13" s="56">
        <v>142</v>
      </c>
      <c r="D13" s="56">
        <v>40.24</v>
      </c>
      <c r="E13" s="56">
        <v>0.73</v>
      </c>
      <c r="F13" s="56">
        <v>1603.75</v>
      </c>
      <c r="G13" s="41">
        <v>234500</v>
      </c>
      <c r="H13" s="28">
        <v>64000</v>
      </c>
      <c r="I13" s="42">
        <v>240000</v>
      </c>
      <c r="J13" s="35"/>
      <c r="K13" s="38">
        <v>7</v>
      </c>
      <c r="L13" s="15">
        <v>44043</v>
      </c>
      <c r="M13" s="49">
        <f t="shared" si="4"/>
        <v>1.5010721944245849E-2</v>
      </c>
      <c r="N13" s="49">
        <f t="shared" si="5"/>
        <v>-6.8518518518518534E-2</v>
      </c>
      <c r="O13" s="49">
        <f t="shared" si="6"/>
        <v>3.5460992907801449E-2</v>
      </c>
      <c r="P13" s="49">
        <f t="shared" si="0"/>
        <v>6.8475719035024002E-2</v>
      </c>
      <c r="Q13" s="35"/>
      <c r="R13" s="26"/>
      <c r="S13" s="26" t="s">
        <v>60</v>
      </c>
      <c r="T13" s="49">
        <f>_xlfn.VAR.S($P$7:$P$66)</f>
        <v>1.2837562865178624E-3</v>
      </c>
      <c r="U13" s="49">
        <f>_xlfn.VAR.S($P$7:$P$66)</f>
        <v>1.2837562865178624E-3</v>
      </c>
      <c r="V13" s="49">
        <f>_xlfn.VAR.S($P$7:$P$66)</f>
        <v>1.2837562865178624E-3</v>
      </c>
      <c r="W13" s="35"/>
      <c r="X13" s="39">
        <v>7</v>
      </c>
      <c r="Y13" s="23">
        <v>44043</v>
      </c>
      <c r="Z13" s="44">
        <f t="shared" si="7"/>
        <v>0.9659863945578232</v>
      </c>
      <c r="AA13" s="44">
        <f t="shared" si="8"/>
        <v>0.81955193482688404</v>
      </c>
      <c r="AB13" s="44">
        <f t="shared" si="9"/>
        <v>1.1317829457364339</v>
      </c>
      <c r="AC13" s="44">
        <f t="shared" si="10"/>
        <v>1.0094350310934315</v>
      </c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6">
        <v>7</v>
      </c>
      <c r="AP13" s="27">
        <v>44043</v>
      </c>
      <c r="AQ13" s="29">
        <f t="shared" si="1"/>
        <v>33299000</v>
      </c>
      <c r="AR13" s="29">
        <f t="shared" si="2"/>
        <v>2575360</v>
      </c>
      <c r="AS13" s="29">
        <f t="shared" si="3"/>
        <v>175200</v>
      </c>
      <c r="AT13" s="45"/>
      <c r="AU13" s="19"/>
      <c r="AV13" s="45"/>
      <c r="AW13" s="45"/>
      <c r="AX13" s="45"/>
      <c r="AY13" s="45"/>
      <c r="AZ13" s="7" t="s">
        <v>61</v>
      </c>
      <c r="BA13" s="54">
        <f>(BA9+BB9)/2</f>
        <v>611030</v>
      </c>
      <c r="BB13" s="54">
        <f t="shared" ref="BB13:BD13" si="12">(BB9+BC9)/2</f>
        <v>569916.5</v>
      </c>
      <c r="BC13" s="54">
        <f t="shared" si="12"/>
        <v>604506.5</v>
      </c>
      <c r="BD13" s="54">
        <f t="shared" si="12"/>
        <v>650606</v>
      </c>
      <c r="BE13" s="54">
        <f>(BE9+BF9)/2</f>
        <v>611222.5</v>
      </c>
      <c r="BH13" s="31"/>
    </row>
    <row r="14" spans="1:60" ht="16" x14ac:dyDescent="0.2">
      <c r="A14" s="37">
        <v>9</v>
      </c>
      <c r="B14" s="17">
        <v>44074</v>
      </c>
      <c r="C14" s="56">
        <v>139.19999999999999</v>
      </c>
      <c r="D14" s="56">
        <v>39.799999999999997</v>
      </c>
      <c r="E14" s="56">
        <v>0.83499999999999996</v>
      </c>
      <c r="F14" s="56">
        <v>1525.21</v>
      </c>
      <c r="G14" s="41">
        <v>234500</v>
      </c>
      <c r="H14" s="28">
        <v>64000</v>
      </c>
      <c r="I14" s="42">
        <v>240000</v>
      </c>
      <c r="J14" s="35"/>
      <c r="K14" s="38">
        <v>8</v>
      </c>
      <c r="L14" s="15">
        <v>44074</v>
      </c>
      <c r="M14" s="49">
        <f t="shared" si="4"/>
        <v>-1.9718309859155011E-2</v>
      </c>
      <c r="N14" s="49">
        <f t="shared" si="5"/>
        <v>-1.0934393638171093E-2</v>
      </c>
      <c r="O14" s="49">
        <f t="shared" si="6"/>
        <v>0.14383561643835616</v>
      </c>
      <c r="P14" s="49">
        <f t="shared" si="0"/>
        <v>-4.8972720187061551E-2</v>
      </c>
      <c r="Q14" s="35"/>
      <c r="R14" s="26"/>
      <c r="S14" s="26" t="s">
        <v>62</v>
      </c>
      <c r="T14" s="49">
        <f>T12/T13</f>
        <v>0.30378672953006169</v>
      </c>
      <c r="U14" s="49">
        <f>U12/U13</f>
        <v>0.28437732419712469</v>
      </c>
      <c r="V14" s="49">
        <f>V12/V13</f>
        <v>0.79433212053212643</v>
      </c>
      <c r="W14" s="35"/>
      <c r="X14" s="39">
        <v>8</v>
      </c>
      <c r="Y14" s="23">
        <v>44074</v>
      </c>
      <c r="Z14" s="44">
        <f t="shared" si="7"/>
        <v>0.94693877551020411</v>
      </c>
      <c r="AA14" s="44">
        <f t="shared" si="8"/>
        <v>0.81059063136456222</v>
      </c>
      <c r="AB14" s="44">
        <f t="shared" si="9"/>
        <v>1.2945736434108523</v>
      </c>
      <c r="AC14" s="44">
        <f t="shared" si="10"/>
        <v>0.96000025176867509</v>
      </c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6">
        <v>8</v>
      </c>
      <c r="AP14" s="27">
        <v>44074</v>
      </c>
      <c r="AQ14" s="29">
        <f t="shared" si="1"/>
        <v>32642399.999999996</v>
      </c>
      <c r="AR14" s="29">
        <f t="shared" si="2"/>
        <v>2547200</v>
      </c>
      <c r="AS14" s="29">
        <f t="shared" si="3"/>
        <v>200400</v>
      </c>
      <c r="AT14" s="45"/>
      <c r="AU14" s="19"/>
      <c r="AV14" s="45"/>
      <c r="AW14" s="45"/>
      <c r="AX14" s="45"/>
      <c r="AY14" s="45"/>
      <c r="AZ14" s="8" t="s">
        <v>63</v>
      </c>
      <c r="BA14" s="64">
        <f>BB4/BB5</f>
        <v>58.930844293593552</v>
      </c>
      <c r="BB14" s="64">
        <f t="shared" ref="BB14:BE14" si="13">BC4/BC5</f>
        <v>55.226337448559661</v>
      </c>
      <c r="BC14" s="64">
        <f t="shared" si="13"/>
        <v>52.930056710775048</v>
      </c>
      <c r="BD14" s="64">
        <f t="shared" si="13"/>
        <v>41.791044776119399</v>
      </c>
      <c r="BE14" s="64">
        <f t="shared" si="13"/>
        <v>56.42212189616253</v>
      </c>
      <c r="BH14" s="31"/>
    </row>
    <row r="15" spans="1:60" ht="16" x14ac:dyDescent="0.2">
      <c r="A15" s="37">
        <v>10</v>
      </c>
      <c r="B15" s="17">
        <v>44104</v>
      </c>
      <c r="C15" s="56">
        <v>141.4</v>
      </c>
      <c r="D15" s="56">
        <v>38.92</v>
      </c>
      <c r="E15" s="56">
        <v>0.81</v>
      </c>
      <c r="F15" s="56">
        <v>1504.82</v>
      </c>
      <c r="G15" s="41">
        <v>234500</v>
      </c>
      <c r="H15" s="28">
        <v>64000</v>
      </c>
      <c r="I15" s="42">
        <v>240000</v>
      </c>
      <c r="J15" s="35"/>
      <c r="K15" s="38">
        <v>9</v>
      </c>
      <c r="L15" s="15">
        <v>44104</v>
      </c>
      <c r="M15" s="49">
        <f t="shared" si="4"/>
        <v>1.5804597701149548E-2</v>
      </c>
      <c r="N15" s="49">
        <f t="shared" si="5"/>
        <v>-2.2110552763818982E-2</v>
      </c>
      <c r="O15" s="49">
        <f t="shared" si="6"/>
        <v>-2.9940119760478938E-2</v>
      </c>
      <c r="P15" s="49">
        <f t="shared" si="0"/>
        <v>-1.3368650874305898E-2</v>
      </c>
      <c r="Q15" s="35"/>
      <c r="R15" s="18"/>
      <c r="S15" s="18"/>
      <c r="T15" s="45"/>
      <c r="U15" s="45"/>
      <c r="V15" s="45"/>
      <c r="W15" s="35"/>
      <c r="X15" s="39">
        <v>9</v>
      </c>
      <c r="Y15" s="23">
        <v>44104</v>
      </c>
      <c r="Z15" s="44">
        <f t="shared" si="7"/>
        <v>0.96190476190476215</v>
      </c>
      <c r="AA15" s="44">
        <f t="shared" si="8"/>
        <v>0.79266802443991868</v>
      </c>
      <c r="AB15" s="44">
        <f t="shared" si="9"/>
        <v>1.2558139534883719</v>
      </c>
      <c r="AC15" s="44">
        <f t="shared" si="10"/>
        <v>0.94716634356353391</v>
      </c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6">
        <v>9</v>
      </c>
      <c r="AP15" s="27">
        <v>44104</v>
      </c>
      <c r="AQ15" s="29">
        <f t="shared" si="1"/>
        <v>33158300</v>
      </c>
      <c r="AR15" s="29">
        <f t="shared" si="2"/>
        <v>2490880</v>
      </c>
      <c r="AS15" s="29">
        <f t="shared" si="3"/>
        <v>194400</v>
      </c>
      <c r="AT15" s="45"/>
      <c r="AU15" s="19"/>
      <c r="AV15" s="45"/>
      <c r="AW15" s="45"/>
      <c r="AX15" s="45"/>
      <c r="AY15" s="45"/>
      <c r="AZ15" s="7" t="s">
        <v>64</v>
      </c>
      <c r="BA15" s="64">
        <f>BB6/BB7</f>
        <v>0.10212391309971212</v>
      </c>
      <c r="BB15" s="64">
        <f t="shared" ref="BB15:BE15" si="14">BC6/BC7</f>
        <v>9.9377273355126847E-2</v>
      </c>
      <c r="BC15" s="64">
        <f t="shared" si="14"/>
        <v>9.3085309518325304E-2</v>
      </c>
      <c r="BD15" s="64">
        <f t="shared" si="14"/>
        <v>9.3586913064314395E-2</v>
      </c>
      <c r="BE15" s="64">
        <f t="shared" si="14"/>
        <v>6.6769482123364088E-2</v>
      </c>
      <c r="BH15" s="31"/>
    </row>
    <row r="16" spans="1:60" ht="16" x14ac:dyDescent="0.2">
      <c r="A16" s="37">
        <v>11</v>
      </c>
      <c r="B16" s="17">
        <v>44134</v>
      </c>
      <c r="C16" s="56">
        <v>139.4</v>
      </c>
      <c r="D16" s="56">
        <v>34.58</v>
      </c>
      <c r="E16" s="56">
        <v>0.88</v>
      </c>
      <c r="F16" s="56">
        <v>1466.89</v>
      </c>
      <c r="G16" s="41">
        <v>234500</v>
      </c>
      <c r="H16" s="28">
        <v>64000</v>
      </c>
      <c r="I16" s="42">
        <v>240000</v>
      </c>
      <c r="J16" s="35"/>
      <c r="K16" s="38">
        <v>10</v>
      </c>
      <c r="L16" s="15">
        <v>44134</v>
      </c>
      <c r="M16" s="49">
        <f t="shared" si="4"/>
        <v>-1.4144271570014143E-2</v>
      </c>
      <c r="N16" s="49">
        <f t="shared" si="5"/>
        <v>-0.11151079136690656</v>
      </c>
      <c r="O16" s="49">
        <f t="shared" si="6"/>
        <v>8.6419753086419693E-2</v>
      </c>
      <c r="P16" s="49">
        <f t="shared" si="0"/>
        <v>-2.5205672439228503E-2</v>
      </c>
      <c r="Q16" s="35"/>
      <c r="R16" s="13" t="s">
        <v>65</v>
      </c>
      <c r="S16" s="18"/>
      <c r="T16" s="45"/>
      <c r="U16" s="45"/>
      <c r="V16" s="45"/>
      <c r="W16" s="35"/>
      <c r="X16" s="39">
        <v>10</v>
      </c>
      <c r="Y16" s="23">
        <v>44134</v>
      </c>
      <c r="Z16" s="44">
        <f t="shared" si="7"/>
        <v>0.94829931972789139</v>
      </c>
      <c r="AA16" s="44">
        <f t="shared" si="8"/>
        <v>0.70427698574338093</v>
      </c>
      <c r="AB16" s="44">
        <f t="shared" si="9"/>
        <v>1.3643410852713176</v>
      </c>
      <c r="AC16" s="44">
        <f t="shared" si="10"/>
        <v>0.92329237896220961</v>
      </c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6">
        <v>10</v>
      </c>
      <c r="AP16" s="27">
        <v>44134</v>
      </c>
      <c r="AQ16" s="29">
        <f t="shared" si="1"/>
        <v>32689300</v>
      </c>
      <c r="AR16" s="29">
        <f t="shared" si="2"/>
        <v>2213120</v>
      </c>
      <c r="AS16" s="29">
        <f t="shared" si="3"/>
        <v>211200</v>
      </c>
      <c r="AT16" s="45"/>
      <c r="AU16" s="19"/>
      <c r="AV16" s="45"/>
      <c r="AW16" s="45"/>
      <c r="AX16" s="45"/>
      <c r="AY16" s="45"/>
      <c r="AZ16" s="7" t="s">
        <v>66</v>
      </c>
      <c r="BA16" s="64">
        <f>BB7/BB8</f>
        <v>1.8914639171222467</v>
      </c>
      <c r="BB16" s="64">
        <f t="shared" ref="BB16:BE16" si="15">BC7/BC8</f>
        <v>1.9209851412022991</v>
      </c>
      <c r="BC16" s="64">
        <f t="shared" si="15"/>
        <v>1.8751053387285521</v>
      </c>
      <c r="BD16" s="64">
        <f t="shared" si="15"/>
        <v>1.9754666423102849</v>
      </c>
      <c r="BE16" s="64">
        <f t="shared" si="15"/>
        <v>1.7055320135308343</v>
      </c>
      <c r="BH16" s="31"/>
    </row>
    <row r="17" spans="1:61" ht="16" x14ac:dyDescent="0.2">
      <c r="A17" s="37">
        <v>12</v>
      </c>
      <c r="B17" s="17">
        <v>44165</v>
      </c>
      <c r="C17" s="56">
        <v>134</v>
      </c>
      <c r="D17" s="56">
        <v>36.700000000000003</v>
      </c>
      <c r="E17" s="56">
        <v>0.875</v>
      </c>
      <c r="F17" s="56">
        <v>1562.71</v>
      </c>
      <c r="G17" s="41">
        <v>234500</v>
      </c>
      <c r="H17" s="28">
        <v>64000</v>
      </c>
      <c r="I17" s="42">
        <v>240000</v>
      </c>
      <c r="J17" s="35"/>
      <c r="K17" s="38">
        <v>11</v>
      </c>
      <c r="L17" s="15">
        <v>44165</v>
      </c>
      <c r="M17" s="49">
        <f t="shared" si="4"/>
        <v>-3.8737446197991431E-2</v>
      </c>
      <c r="N17" s="49">
        <f t="shared" si="5"/>
        <v>6.1307113938693023E-2</v>
      </c>
      <c r="O17" s="49">
        <f t="shared" si="6"/>
        <v>-5.6818181818181872E-3</v>
      </c>
      <c r="P17" s="49">
        <f t="shared" si="0"/>
        <v>6.5321871442303059E-2</v>
      </c>
      <c r="Q17" s="35"/>
      <c r="S17" s="18"/>
      <c r="T17" s="50"/>
      <c r="U17" s="50"/>
      <c r="V17" s="50"/>
      <c r="W17" s="35"/>
      <c r="X17" s="39">
        <v>11</v>
      </c>
      <c r="Y17" s="23">
        <v>44165</v>
      </c>
      <c r="Z17" s="44">
        <f t="shared" si="7"/>
        <v>0.91156462585034026</v>
      </c>
      <c r="AA17" s="44">
        <f t="shared" si="8"/>
        <v>0.74745417515274959</v>
      </c>
      <c r="AB17" s="44">
        <f t="shared" si="9"/>
        <v>1.3565891472868215</v>
      </c>
      <c r="AC17" s="44">
        <f t="shared" si="10"/>
        <v>0.98360356504443736</v>
      </c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6">
        <v>11</v>
      </c>
      <c r="AP17" s="27">
        <v>44165</v>
      </c>
      <c r="AQ17" s="29">
        <f t="shared" si="1"/>
        <v>31423000</v>
      </c>
      <c r="AR17" s="29">
        <f t="shared" si="2"/>
        <v>2348800</v>
      </c>
      <c r="AS17" s="29">
        <f t="shared" si="3"/>
        <v>210000</v>
      </c>
      <c r="AT17" s="45"/>
      <c r="AU17" s="19"/>
      <c r="AV17" s="35"/>
      <c r="AW17" s="35"/>
      <c r="AX17" s="35"/>
      <c r="AY17" s="45"/>
      <c r="AZ17" s="7" t="s">
        <v>67</v>
      </c>
      <c r="BA17" s="64">
        <f>BB8/BB9</f>
        <v>5.1358573131156486</v>
      </c>
      <c r="BB17" s="64">
        <f t="shared" ref="BB17:BE17" si="16">BC8/BC9</f>
        <v>5.1224409942045348</v>
      </c>
      <c r="BC17" s="64">
        <f t="shared" si="16"/>
        <v>5.6744694371531308</v>
      </c>
      <c r="BD17" s="64">
        <f t="shared" si="16"/>
        <v>5.2885511249140604</v>
      </c>
      <c r="BE17" s="64">
        <f t="shared" si="16"/>
        <v>6.6655915726263766</v>
      </c>
      <c r="BH17" s="31"/>
    </row>
    <row r="18" spans="1:61" ht="16" x14ac:dyDescent="0.2">
      <c r="A18" s="37">
        <v>13</v>
      </c>
      <c r="B18" s="17">
        <v>44196</v>
      </c>
      <c r="C18" s="56">
        <v>138.9</v>
      </c>
      <c r="D18" s="56">
        <v>37.5</v>
      </c>
      <c r="E18" s="56">
        <v>0.91</v>
      </c>
      <c r="F18" s="56">
        <v>1627.21</v>
      </c>
      <c r="G18" s="41">
        <v>234500</v>
      </c>
      <c r="H18" s="28">
        <v>64000</v>
      </c>
      <c r="I18" s="42">
        <v>240000</v>
      </c>
      <c r="J18" s="35"/>
      <c r="K18" s="38">
        <v>12</v>
      </c>
      <c r="L18" s="15">
        <v>44196</v>
      </c>
      <c r="M18" s="49">
        <f t="shared" si="4"/>
        <v>3.6567164179104522E-2</v>
      </c>
      <c r="N18" s="49">
        <f t="shared" si="5"/>
        <v>2.1798365122615723E-2</v>
      </c>
      <c r="O18" s="49">
        <f t="shared" si="6"/>
        <v>4.0000000000000036E-2</v>
      </c>
      <c r="P18" s="49">
        <f t="shared" si="0"/>
        <v>4.1274452713555294E-2</v>
      </c>
      <c r="Q18" s="35"/>
      <c r="S18" s="18"/>
      <c r="T18" s="35"/>
      <c r="U18" s="35"/>
      <c r="V18" s="35"/>
      <c r="W18" s="35"/>
      <c r="X18" s="39">
        <v>12</v>
      </c>
      <c r="Y18" s="23">
        <v>44196</v>
      </c>
      <c r="Z18" s="44">
        <f t="shared" si="7"/>
        <v>0.9448979591836737</v>
      </c>
      <c r="AA18" s="44">
        <f t="shared" si="8"/>
        <v>0.76374745417515277</v>
      </c>
      <c r="AB18" s="44">
        <f t="shared" si="9"/>
        <v>1.4108527131782944</v>
      </c>
      <c r="AC18" s="44">
        <f t="shared" si="10"/>
        <v>1.0242012638787485</v>
      </c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6">
        <v>12</v>
      </c>
      <c r="AP18" s="27">
        <v>44196</v>
      </c>
      <c r="AQ18" s="29">
        <f t="shared" si="1"/>
        <v>32572050</v>
      </c>
      <c r="AR18" s="29">
        <f t="shared" si="2"/>
        <v>2400000</v>
      </c>
      <c r="AS18" s="29">
        <f t="shared" si="3"/>
        <v>218400</v>
      </c>
      <c r="AT18" s="45"/>
      <c r="AU18" s="19"/>
      <c r="AV18" s="35"/>
      <c r="AW18" s="35"/>
      <c r="AX18" s="35"/>
      <c r="AY18" s="45"/>
      <c r="AZ18" s="8" t="s">
        <v>68</v>
      </c>
      <c r="BA18" s="64">
        <f>BA15*BA16*BA17</f>
        <v>0.99206118434278168</v>
      </c>
      <c r="BB18" s="64">
        <f t="shared" ref="BB18:BE18" si="17">BB15*BB16*BB17</f>
        <v>0.9778855906242867</v>
      </c>
      <c r="BC18" s="64">
        <f t="shared" si="17"/>
        <v>0.99044891077347552</v>
      </c>
      <c r="BD18" s="64">
        <f t="shared" si="17"/>
        <v>0.97773582892771616</v>
      </c>
      <c r="BE18" s="64">
        <f t="shared" si="17"/>
        <v>0.75906083291175763</v>
      </c>
      <c r="BH18" s="31"/>
    </row>
    <row r="19" spans="1:61" ht="16" x14ac:dyDescent="0.2">
      <c r="A19" s="37">
        <v>14</v>
      </c>
      <c r="B19" s="17">
        <v>44225</v>
      </c>
      <c r="C19" s="56">
        <v>137</v>
      </c>
      <c r="D19" s="56">
        <v>34.799999999999997</v>
      </c>
      <c r="E19" s="56">
        <v>0.86</v>
      </c>
      <c r="F19" s="56">
        <v>1566.4</v>
      </c>
      <c r="G19" s="41">
        <v>234500</v>
      </c>
      <c r="H19" s="28">
        <v>64000</v>
      </c>
      <c r="I19" s="42">
        <v>240000</v>
      </c>
      <c r="J19" s="35"/>
      <c r="K19" s="38">
        <v>13</v>
      </c>
      <c r="L19" s="15">
        <v>44225</v>
      </c>
      <c r="M19" s="49">
        <f t="shared" si="4"/>
        <v>-1.3678905687545036E-2</v>
      </c>
      <c r="N19" s="49">
        <f t="shared" si="5"/>
        <v>-7.2000000000000078E-2</v>
      </c>
      <c r="O19" s="49">
        <f t="shared" si="6"/>
        <v>-5.4945054945054993E-2</v>
      </c>
      <c r="P19" s="49">
        <f t="shared" si="0"/>
        <v>-3.7370714290103885E-2</v>
      </c>
      <c r="Q19" s="35"/>
      <c r="S19" s="35"/>
      <c r="T19" s="35"/>
      <c r="U19" s="35"/>
      <c r="V19" s="35"/>
      <c r="W19" s="35"/>
      <c r="X19" s="39">
        <v>13</v>
      </c>
      <c r="Y19" s="23">
        <v>44225</v>
      </c>
      <c r="Z19" s="44">
        <f t="shared" si="7"/>
        <v>0.93197278911564641</v>
      </c>
      <c r="AA19" s="44">
        <f t="shared" si="8"/>
        <v>0.70875763747454168</v>
      </c>
      <c r="AB19" s="44">
        <f t="shared" si="9"/>
        <v>1.333333333333333</v>
      </c>
      <c r="AC19" s="44">
        <f t="shared" si="10"/>
        <v>0.98592613107077254</v>
      </c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6">
        <v>13</v>
      </c>
      <c r="AP19" s="27">
        <v>44225</v>
      </c>
      <c r="AQ19" s="29">
        <f t="shared" si="1"/>
        <v>32126500</v>
      </c>
      <c r="AR19" s="29">
        <f t="shared" si="2"/>
        <v>2227200</v>
      </c>
      <c r="AS19" s="29">
        <f t="shared" si="3"/>
        <v>206400</v>
      </c>
      <c r="AT19" s="45"/>
      <c r="AU19" s="51"/>
      <c r="AV19" s="35"/>
      <c r="AW19" s="35"/>
      <c r="AX19" s="35"/>
      <c r="AY19" s="45"/>
    </row>
    <row r="20" spans="1:61" ht="16" x14ac:dyDescent="0.2">
      <c r="A20" s="37">
        <v>15</v>
      </c>
      <c r="B20" s="17">
        <v>44253</v>
      </c>
      <c r="C20" s="56">
        <v>137.9</v>
      </c>
      <c r="D20" s="56">
        <v>34.96</v>
      </c>
      <c r="E20" s="56">
        <v>0.83</v>
      </c>
      <c r="F20" s="56">
        <v>1577.75</v>
      </c>
      <c r="G20" s="41">
        <v>234500</v>
      </c>
      <c r="H20" s="28">
        <v>64000</v>
      </c>
      <c r="I20" s="42">
        <v>240000</v>
      </c>
      <c r="J20" s="35"/>
      <c r="K20" s="38">
        <v>14</v>
      </c>
      <c r="L20" s="15">
        <v>44253</v>
      </c>
      <c r="M20" s="49">
        <f t="shared" si="4"/>
        <v>6.5693430656934724E-3</v>
      </c>
      <c r="N20" s="49">
        <f t="shared" si="5"/>
        <v>4.597701149425394E-3</v>
      </c>
      <c r="O20" s="49">
        <f t="shared" si="6"/>
        <v>-3.4883720930232592E-2</v>
      </c>
      <c r="P20" s="49">
        <f t="shared" si="0"/>
        <v>7.2459141981613311E-3</v>
      </c>
      <c r="Q20" s="35"/>
      <c r="S20" s="35"/>
      <c r="T20" s="35"/>
      <c r="U20" s="35"/>
      <c r="V20" s="35"/>
      <c r="W20" s="35"/>
      <c r="X20" s="39">
        <v>14</v>
      </c>
      <c r="Y20" s="23">
        <v>44253</v>
      </c>
      <c r="Z20" s="44">
        <f t="shared" si="7"/>
        <v>0.93809523809523832</v>
      </c>
      <c r="AA20" s="44">
        <f t="shared" si="8"/>
        <v>0.71201629327902238</v>
      </c>
      <c r="AB20" s="44">
        <f t="shared" si="9"/>
        <v>1.2868217054263562</v>
      </c>
      <c r="AC20" s="44">
        <f t="shared" si="10"/>
        <v>0.99307006722223656</v>
      </c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6">
        <v>14</v>
      </c>
      <c r="AP20" s="27">
        <v>44253</v>
      </c>
      <c r="AQ20" s="29">
        <f t="shared" si="1"/>
        <v>32337550</v>
      </c>
      <c r="AR20" s="29">
        <f t="shared" si="2"/>
        <v>2237440</v>
      </c>
      <c r="AS20" s="29">
        <f t="shared" si="3"/>
        <v>199200</v>
      </c>
      <c r="AT20" s="45"/>
      <c r="AU20" s="51"/>
      <c r="AV20" s="35"/>
      <c r="AW20" s="35"/>
      <c r="AX20" s="35"/>
      <c r="AY20" s="52"/>
      <c r="AZ20" s="68" t="s">
        <v>70</v>
      </c>
      <c r="BA20" s="68"/>
      <c r="BB20" s="68"/>
      <c r="BC20" s="68"/>
      <c r="BD20" s="68"/>
      <c r="BE20" s="68"/>
      <c r="BF20" s="68"/>
    </row>
    <row r="21" spans="1:61" ht="16" x14ac:dyDescent="0.2">
      <c r="A21" s="37">
        <v>16</v>
      </c>
      <c r="B21" s="17">
        <v>44286</v>
      </c>
      <c r="C21" s="56">
        <v>135</v>
      </c>
      <c r="D21" s="56">
        <v>35.700000000000003</v>
      </c>
      <c r="E21" s="56">
        <v>0.83</v>
      </c>
      <c r="F21" s="56">
        <v>1573.51</v>
      </c>
      <c r="G21" s="41">
        <v>234500</v>
      </c>
      <c r="H21" s="28">
        <v>64000</v>
      </c>
      <c r="I21" s="42">
        <v>240000</v>
      </c>
      <c r="J21" s="35"/>
      <c r="K21" s="38">
        <v>15</v>
      </c>
      <c r="L21" s="15">
        <v>44286</v>
      </c>
      <c r="M21" s="49">
        <f t="shared" si="4"/>
        <v>-2.1029731689630207E-2</v>
      </c>
      <c r="N21" s="49">
        <f t="shared" si="5"/>
        <v>2.1167048054919965E-2</v>
      </c>
      <c r="O21" s="49">
        <f t="shared" si="6"/>
        <v>0</v>
      </c>
      <c r="P21" s="49">
        <f t="shared" si="0"/>
        <v>-2.6873712565362124E-3</v>
      </c>
      <c r="Q21" s="35"/>
      <c r="R21" s="13"/>
      <c r="S21" s="35"/>
      <c r="T21" s="35"/>
      <c r="U21" s="35"/>
      <c r="V21" s="35"/>
      <c r="W21" s="35"/>
      <c r="X21" s="39">
        <v>15</v>
      </c>
      <c r="Y21" s="23">
        <v>44286</v>
      </c>
      <c r="Z21" s="44">
        <f t="shared" si="7"/>
        <v>0.91836734693877575</v>
      </c>
      <c r="AA21" s="44">
        <f t="shared" si="8"/>
        <v>0.72708757637474541</v>
      </c>
      <c r="AB21" s="44">
        <f t="shared" si="9"/>
        <v>1.2868217054263562</v>
      </c>
      <c r="AC21" s="44">
        <f t="shared" si="10"/>
        <v>0.99040131926785713</v>
      </c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6">
        <v>15</v>
      </c>
      <c r="AP21" s="27">
        <v>44286</v>
      </c>
      <c r="AQ21" s="29">
        <f t="shared" si="1"/>
        <v>31657500</v>
      </c>
      <c r="AR21" s="29">
        <f t="shared" si="2"/>
        <v>2284800</v>
      </c>
      <c r="AS21" s="29">
        <f t="shared" si="3"/>
        <v>199200</v>
      </c>
      <c r="AT21" s="45"/>
      <c r="AU21" s="51"/>
      <c r="AV21" s="35"/>
      <c r="AW21" s="35"/>
      <c r="AX21" s="35"/>
      <c r="AY21" s="45"/>
      <c r="AZ21" s="9" t="s">
        <v>7</v>
      </c>
      <c r="BA21" s="10">
        <v>2019</v>
      </c>
      <c r="BB21" s="10">
        <v>2020</v>
      </c>
      <c r="BC21" s="10">
        <v>2021</v>
      </c>
      <c r="BD21" s="10">
        <v>2022</v>
      </c>
      <c r="BE21" s="10">
        <v>2023</v>
      </c>
      <c r="BF21" s="10">
        <v>2024</v>
      </c>
    </row>
    <row r="22" spans="1:61" ht="16" x14ac:dyDescent="0.2">
      <c r="A22" s="37">
        <v>17</v>
      </c>
      <c r="B22" s="17">
        <v>44316</v>
      </c>
      <c r="C22" s="56">
        <v>135.69999999999999</v>
      </c>
      <c r="D22" s="56">
        <v>34.799999999999997</v>
      </c>
      <c r="E22" s="56">
        <v>0.82</v>
      </c>
      <c r="F22" s="56">
        <v>1601.65</v>
      </c>
      <c r="G22" s="41">
        <v>234500</v>
      </c>
      <c r="H22" s="28">
        <v>64000</v>
      </c>
      <c r="I22" s="42">
        <v>240000</v>
      </c>
      <c r="J22" s="35"/>
      <c r="K22" s="38">
        <v>16</v>
      </c>
      <c r="L22" s="15">
        <v>44316</v>
      </c>
      <c r="M22" s="49">
        <f t="shared" si="4"/>
        <v>5.1851851851851009E-3</v>
      </c>
      <c r="N22" s="49">
        <f t="shared" si="5"/>
        <v>-2.5210084033613602E-2</v>
      </c>
      <c r="O22" s="49">
        <f t="shared" si="6"/>
        <v>-1.2048192771084348E-2</v>
      </c>
      <c r="P22" s="49">
        <f t="shared" si="0"/>
        <v>1.7883585105909781E-2</v>
      </c>
      <c r="Q22" s="35"/>
      <c r="R22" s="35"/>
      <c r="S22" s="35"/>
      <c r="T22" s="35"/>
      <c r="U22" s="35"/>
      <c r="V22" s="35"/>
      <c r="W22" s="35"/>
      <c r="X22" s="39">
        <v>16</v>
      </c>
      <c r="Y22" s="23">
        <v>44316</v>
      </c>
      <c r="Z22" s="44">
        <f t="shared" si="7"/>
        <v>0.9231292517006805</v>
      </c>
      <c r="AA22" s="44">
        <f t="shared" si="8"/>
        <v>0.70875763747454168</v>
      </c>
      <c r="AB22" s="44">
        <f t="shared" si="9"/>
        <v>1.2713178294573639</v>
      </c>
      <c r="AC22" s="44">
        <f t="shared" si="10"/>
        <v>1.0081132455499893</v>
      </c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6">
        <v>16</v>
      </c>
      <c r="AP22" s="27">
        <v>44316</v>
      </c>
      <c r="AQ22" s="29">
        <f t="shared" si="1"/>
        <v>31821649.999999996</v>
      </c>
      <c r="AR22" s="29">
        <f t="shared" si="2"/>
        <v>2227200</v>
      </c>
      <c r="AS22" s="29">
        <f t="shared" si="3"/>
        <v>196800</v>
      </c>
      <c r="AT22" s="45"/>
      <c r="AU22" s="51"/>
      <c r="AV22" s="35"/>
      <c r="AW22" s="35"/>
      <c r="AX22" s="35"/>
      <c r="AY22" s="45"/>
      <c r="AZ22" s="7" t="s">
        <v>28</v>
      </c>
      <c r="BA22" s="6">
        <f>D6</f>
        <v>49.1</v>
      </c>
      <c r="BB22" s="66">
        <f>D18</f>
        <v>37.5</v>
      </c>
      <c r="BC22" s="65">
        <f>D30</f>
        <v>33.520000000000003</v>
      </c>
      <c r="BD22" s="65">
        <f>D42</f>
        <v>30.24</v>
      </c>
      <c r="BE22" s="65">
        <f>D54</f>
        <v>23.16</v>
      </c>
      <c r="BF22" s="65">
        <f>D66</f>
        <v>30.18</v>
      </c>
    </row>
    <row r="23" spans="1:61" ht="16" x14ac:dyDescent="0.2">
      <c r="A23" s="37">
        <v>18</v>
      </c>
      <c r="B23" s="17">
        <v>44347</v>
      </c>
      <c r="C23" s="56">
        <v>136.5</v>
      </c>
      <c r="D23" s="56">
        <v>34.200000000000003</v>
      </c>
      <c r="E23" s="56">
        <v>0.875</v>
      </c>
      <c r="F23" s="56">
        <v>1583.55</v>
      </c>
      <c r="G23" s="41">
        <v>234500</v>
      </c>
      <c r="H23" s="28">
        <v>64000</v>
      </c>
      <c r="I23" s="42">
        <v>240000</v>
      </c>
      <c r="J23" s="35"/>
      <c r="K23" s="38">
        <v>17</v>
      </c>
      <c r="L23" s="15">
        <v>44347</v>
      </c>
      <c r="M23" s="49">
        <f t="shared" si="4"/>
        <v>5.8953574060428256E-3</v>
      </c>
      <c r="N23" s="49">
        <f t="shared" si="5"/>
        <v>-1.7241379310344664E-2</v>
      </c>
      <c r="O23" s="49">
        <f t="shared" si="6"/>
        <v>6.7073170731707377E-2</v>
      </c>
      <c r="P23" s="49">
        <f t="shared" si="0"/>
        <v>-1.1300846002559945E-2</v>
      </c>
      <c r="Q23" s="35"/>
      <c r="R23" s="35"/>
      <c r="S23" s="35"/>
      <c r="T23" s="35"/>
      <c r="U23" s="35"/>
      <c r="V23" s="35"/>
      <c r="W23" s="35"/>
      <c r="X23" s="39">
        <v>17</v>
      </c>
      <c r="Y23" s="23">
        <v>44347</v>
      </c>
      <c r="Z23" s="44">
        <f t="shared" si="7"/>
        <v>0.92857142857142883</v>
      </c>
      <c r="AA23" s="44">
        <f t="shared" si="8"/>
        <v>0.69653767820773937</v>
      </c>
      <c r="AB23" s="44">
        <f t="shared" si="9"/>
        <v>1.3565891472868215</v>
      </c>
      <c r="AC23" s="44">
        <f t="shared" si="10"/>
        <v>0.99672071300888787</v>
      </c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6">
        <v>17</v>
      </c>
      <c r="AP23" s="27">
        <v>44347</v>
      </c>
      <c r="AQ23" s="29">
        <f t="shared" si="1"/>
        <v>32009250</v>
      </c>
      <c r="AR23" s="29">
        <f t="shared" si="2"/>
        <v>2188800</v>
      </c>
      <c r="AS23" s="29">
        <f t="shared" si="3"/>
        <v>210000</v>
      </c>
      <c r="AT23" s="45"/>
      <c r="AU23" s="51"/>
      <c r="AV23" s="35"/>
      <c r="AW23" s="35"/>
      <c r="AX23" s="35"/>
      <c r="AY23" s="45"/>
      <c r="AZ23" s="7" t="s">
        <v>39</v>
      </c>
      <c r="BA23" s="58">
        <v>1.609</v>
      </c>
      <c r="BB23" s="58">
        <v>1.1459999999999999</v>
      </c>
      <c r="BC23" s="58">
        <v>3.875</v>
      </c>
      <c r="BD23" s="58">
        <v>0.72299999999999998</v>
      </c>
      <c r="BE23" s="58">
        <v>1.131</v>
      </c>
      <c r="BF23" s="59">
        <v>1.51</v>
      </c>
      <c r="BH23" s="31"/>
    </row>
    <row r="24" spans="1:61" ht="16" x14ac:dyDescent="0.2">
      <c r="A24" s="37">
        <v>19</v>
      </c>
      <c r="B24" s="17">
        <v>44377</v>
      </c>
      <c r="C24" s="56">
        <v>133.30000000000001</v>
      </c>
      <c r="D24" s="56">
        <v>33.6</v>
      </c>
      <c r="E24" s="56">
        <v>0.86499999999999999</v>
      </c>
      <c r="F24" s="56">
        <v>1532.63</v>
      </c>
      <c r="G24" s="41">
        <v>234500</v>
      </c>
      <c r="H24" s="28">
        <v>64000</v>
      </c>
      <c r="I24" s="42">
        <v>240000</v>
      </c>
      <c r="J24" s="35"/>
      <c r="K24" s="38">
        <v>18</v>
      </c>
      <c r="L24" s="15">
        <v>44377</v>
      </c>
      <c r="M24" s="49">
        <f t="shared" si="4"/>
        <v>-2.344322344322336E-2</v>
      </c>
      <c r="N24" s="49">
        <f t="shared" si="5"/>
        <v>-1.7543859649122848E-2</v>
      </c>
      <c r="O24" s="49">
        <f t="shared" si="6"/>
        <v>-1.1428571428571439E-2</v>
      </c>
      <c r="P24" s="49">
        <f t="shared" si="0"/>
        <v>-3.2155599760032738E-2</v>
      </c>
      <c r="Q24" s="35"/>
      <c r="R24" s="35"/>
      <c r="S24" s="35"/>
      <c r="T24" s="35"/>
      <c r="U24" s="35"/>
      <c r="V24" s="35"/>
      <c r="W24" s="35"/>
      <c r="X24" s="39">
        <v>18</v>
      </c>
      <c r="Y24" s="23">
        <v>44377</v>
      </c>
      <c r="Z24" s="44">
        <f t="shared" si="7"/>
        <v>0.90680272108843574</v>
      </c>
      <c r="AA24" s="44">
        <f t="shared" si="8"/>
        <v>0.68431771894093685</v>
      </c>
      <c r="AB24" s="44">
        <f t="shared" si="9"/>
        <v>1.3410852713178292</v>
      </c>
      <c r="AC24" s="44">
        <f t="shared" si="10"/>
        <v>0.96467056068883972</v>
      </c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6">
        <v>18</v>
      </c>
      <c r="AP24" s="27">
        <v>44377</v>
      </c>
      <c r="AQ24" s="29">
        <f t="shared" si="1"/>
        <v>31258850.000000004</v>
      </c>
      <c r="AR24" s="29">
        <f t="shared" si="2"/>
        <v>2150400</v>
      </c>
      <c r="AS24" s="29">
        <f t="shared" si="3"/>
        <v>207600</v>
      </c>
      <c r="AT24" s="45"/>
      <c r="AU24" s="51"/>
      <c r="AV24" s="35"/>
      <c r="AW24" s="35"/>
      <c r="AX24" s="35"/>
      <c r="AY24" s="45"/>
      <c r="AZ24" s="7" t="s">
        <v>42</v>
      </c>
      <c r="BA24" s="60">
        <v>102958</v>
      </c>
      <c r="BB24" s="60">
        <v>73363</v>
      </c>
      <c r="BC24" s="60">
        <v>248000</v>
      </c>
      <c r="BD24" s="60">
        <v>46271</v>
      </c>
      <c r="BE24" s="60">
        <v>72394</v>
      </c>
      <c r="BF24" s="60">
        <v>96647</v>
      </c>
      <c r="BH24" s="31"/>
      <c r="BI24" s="31"/>
    </row>
    <row r="25" spans="1:61" ht="16" x14ac:dyDescent="0.2">
      <c r="A25" s="37">
        <v>20</v>
      </c>
      <c r="B25" s="17">
        <v>44407</v>
      </c>
      <c r="C25" s="56">
        <v>133</v>
      </c>
      <c r="D25" s="56">
        <v>33.1</v>
      </c>
      <c r="E25" s="56">
        <v>0.875</v>
      </c>
      <c r="F25" s="56">
        <v>1494.6</v>
      </c>
      <c r="G25" s="41">
        <v>234500</v>
      </c>
      <c r="H25" s="28">
        <v>64000</v>
      </c>
      <c r="I25" s="42">
        <v>240000</v>
      </c>
      <c r="J25" s="35"/>
      <c r="K25" s="38">
        <v>19</v>
      </c>
      <c r="L25" s="15">
        <v>44407</v>
      </c>
      <c r="M25" s="49">
        <f t="shared" si="4"/>
        <v>-2.2505626406602503E-3</v>
      </c>
      <c r="N25" s="49">
        <f t="shared" si="5"/>
        <v>-1.488095238095238E-2</v>
      </c>
      <c r="O25" s="49">
        <f t="shared" si="6"/>
        <v>1.1560693641618507E-2</v>
      </c>
      <c r="P25" s="49">
        <f t="shared" si="0"/>
        <v>-2.4813555783196335E-2</v>
      </c>
      <c r="Q25" s="35"/>
      <c r="R25" s="35"/>
      <c r="S25" s="35"/>
      <c r="T25" s="35"/>
      <c r="U25" s="35"/>
      <c r="V25" s="35"/>
      <c r="W25" s="35"/>
      <c r="X25" s="39">
        <v>19</v>
      </c>
      <c r="Y25" s="23">
        <v>44407</v>
      </c>
      <c r="Z25" s="44">
        <f t="shared" si="7"/>
        <v>0.90476190476190499</v>
      </c>
      <c r="AA25" s="44">
        <f t="shared" si="8"/>
        <v>0.67413441955193487</v>
      </c>
      <c r="AB25" s="44">
        <f t="shared" si="9"/>
        <v>1.3565891472868215</v>
      </c>
      <c r="AC25" s="44">
        <f t="shared" si="10"/>
        <v>0.94073365391877994</v>
      </c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6">
        <v>19</v>
      </c>
      <c r="AP25" s="27">
        <v>44407</v>
      </c>
      <c r="AQ25" s="29">
        <f t="shared" si="1"/>
        <v>31188500</v>
      </c>
      <c r="AR25" s="29">
        <f t="shared" si="2"/>
        <v>2118400</v>
      </c>
      <c r="AS25" s="29">
        <f t="shared" si="3"/>
        <v>210000</v>
      </c>
      <c r="AT25" s="45"/>
      <c r="AU25" s="51"/>
      <c r="AV25" s="35"/>
      <c r="AW25" s="35"/>
      <c r="AX25" s="35"/>
      <c r="AY25" s="45"/>
      <c r="AZ25" s="7" t="s">
        <v>45</v>
      </c>
      <c r="BA25" s="60">
        <v>1066662</v>
      </c>
      <c r="BB25" s="60">
        <v>1100659</v>
      </c>
      <c r="BC25" s="60">
        <v>1133733</v>
      </c>
      <c r="BD25" s="60">
        <v>1339410</v>
      </c>
      <c r="BE25" s="60">
        <v>1442823</v>
      </c>
      <c r="BF25" s="60">
        <v>1445071</v>
      </c>
      <c r="BH25" s="31"/>
      <c r="BI25" s="31"/>
    </row>
    <row r="26" spans="1:61" ht="16" x14ac:dyDescent="0.2">
      <c r="A26" s="37">
        <v>21</v>
      </c>
      <c r="B26" s="17">
        <v>44439</v>
      </c>
      <c r="C26" s="56">
        <v>134.69999999999999</v>
      </c>
      <c r="D26" s="56">
        <v>35.18</v>
      </c>
      <c r="E26" s="56">
        <v>0.93</v>
      </c>
      <c r="F26" s="56">
        <v>1601.38</v>
      </c>
      <c r="G26" s="41">
        <v>234500</v>
      </c>
      <c r="H26" s="28">
        <v>64000</v>
      </c>
      <c r="I26" s="42">
        <v>240000</v>
      </c>
      <c r="J26" s="35"/>
      <c r="K26" s="38">
        <v>20</v>
      </c>
      <c r="L26" s="15">
        <v>44439</v>
      </c>
      <c r="M26" s="49">
        <f t="shared" si="4"/>
        <v>1.278195488721796E-2</v>
      </c>
      <c r="N26" s="49">
        <f t="shared" si="5"/>
        <v>6.2839879154078501E-2</v>
      </c>
      <c r="O26" s="49">
        <f t="shared" si="6"/>
        <v>6.2857142857142917E-2</v>
      </c>
      <c r="P26" s="49">
        <f t="shared" si="0"/>
        <v>7.144386457915175E-2</v>
      </c>
      <c r="Q26" s="35"/>
      <c r="R26" s="35"/>
      <c r="S26" s="35"/>
      <c r="T26" s="35"/>
      <c r="U26" s="35"/>
      <c r="V26" s="35"/>
      <c r="W26" s="35"/>
      <c r="X26" s="39">
        <v>20</v>
      </c>
      <c r="Y26" s="23">
        <v>44439</v>
      </c>
      <c r="Z26" s="44">
        <f t="shared" si="7"/>
        <v>0.916326530612245</v>
      </c>
      <c r="AA26" s="44">
        <f t="shared" si="8"/>
        <v>0.71649694501018335</v>
      </c>
      <c r="AB26" s="44">
        <f t="shared" si="9"/>
        <v>1.441860465116279</v>
      </c>
      <c r="AC26" s="44">
        <f t="shared" si="10"/>
        <v>1.0079433016944039</v>
      </c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6">
        <v>20</v>
      </c>
      <c r="AP26" s="27">
        <v>44439</v>
      </c>
      <c r="AQ26" s="29">
        <f t="shared" si="1"/>
        <v>31587149.999999996</v>
      </c>
      <c r="AR26" s="29">
        <f t="shared" si="2"/>
        <v>2251520</v>
      </c>
      <c r="AS26" s="29">
        <f t="shared" si="3"/>
        <v>223200</v>
      </c>
      <c r="AT26" s="45"/>
      <c r="AU26" s="51"/>
      <c r="AV26" s="35"/>
      <c r="AW26" s="35"/>
      <c r="AX26" s="35"/>
      <c r="AY26" s="45"/>
      <c r="AZ26" s="7" t="s">
        <v>48</v>
      </c>
      <c r="BA26" s="60">
        <v>443594</v>
      </c>
      <c r="BB26" s="60">
        <v>498845</v>
      </c>
      <c r="BC26" s="60">
        <v>701232</v>
      </c>
      <c r="BD26" s="60">
        <v>844174</v>
      </c>
      <c r="BE26" s="60">
        <v>946876</v>
      </c>
      <c r="BF26" s="60">
        <v>1073732</v>
      </c>
      <c r="BH26" s="31"/>
      <c r="BI26" s="31"/>
    </row>
    <row r="27" spans="1:61" ht="16" x14ac:dyDescent="0.2">
      <c r="A27" s="37">
        <v>22</v>
      </c>
      <c r="B27" s="17">
        <v>44469</v>
      </c>
      <c r="C27" s="56">
        <v>133.1</v>
      </c>
      <c r="D27" s="56">
        <v>32.5</v>
      </c>
      <c r="E27" s="56">
        <v>0.92</v>
      </c>
      <c r="F27" s="56">
        <v>1537.8</v>
      </c>
      <c r="G27" s="41">
        <v>234500</v>
      </c>
      <c r="H27" s="28">
        <v>64000</v>
      </c>
      <c r="I27" s="42">
        <v>240000</v>
      </c>
      <c r="J27" s="35"/>
      <c r="K27" s="38">
        <v>21</v>
      </c>
      <c r="L27" s="15">
        <v>44469</v>
      </c>
      <c r="M27" s="49">
        <f t="shared" si="4"/>
        <v>-1.1878247958426092E-2</v>
      </c>
      <c r="N27" s="49">
        <f t="shared" si="5"/>
        <v>-7.6179647527003971E-2</v>
      </c>
      <c r="O27" s="49">
        <f t="shared" si="6"/>
        <v>-1.075268817204302E-2</v>
      </c>
      <c r="P27" s="49">
        <f t="shared" si="0"/>
        <v>-3.9703255941750337E-2</v>
      </c>
      <c r="Q27" s="35"/>
      <c r="R27" s="35"/>
      <c r="S27" s="35"/>
      <c r="T27" s="35"/>
      <c r="U27" s="35"/>
      <c r="V27" s="35"/>
      <c r="W27" s="35"/>
      <c r="X27" s="39">
        <v>21</v>
      </c>
      <c r="Y27" s="23">
        <v>44469</v>
      </c>
      <c r="Z27" s="44">
        <f t="shared" si="7"/>
        <v>0.90544217687074846</v>
      </c>
      <c r="AA27" s="44">
        <f t="shared" si="8"/>
        <v>0.66191446028513246</v>
      </c>
      <c r="AB27" s="44">
        <f t="shared" si="9"/>
        <v>1.4263565891472867</v>
      </c>
      <c r="AC27" s="44">
        <f t="shared" si="10"/>
        <v>0.96792467081245814</v>
      </c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6">
        <v>21</v>
      </c>
      <c r="AP27" s="27">
        <v>44469</v>
      </c>
      <c r="AQ27" s="29">
        <f t="shared" si="1"/>
        <v>31211950</v>
      </c>
      <c r="AR27" s="29">
        <f t="shared" si="2"/>
        <v>2080000</v>
      </c>
      <c r="AS27" s="29">
        <f t="shared" si="3"/>
        <v>220800</v>
      </c>
      <c r="AT27" s="45"/>
      <c r="AU27" s="51"/>
      <c r="AV27" s="35"/>
      <c r="AW27" s="35"/>
      <c r="AX27" s="35"/>
      <c r="AY27" s="45"/>
      <c r="AZ27" s="7" t="s">
        <v>51</v>
      </c>
      <c r="BA27" s="60">
        <v>144417</v>
      </c>
      <c r="BB27" s="60">
        <v>166580</v>
      </c>
      <c r="BC27" s="60">
        <v>382580</v>
      </c>
      <c r="BD27" s="60">
        <v>396851</v>
      </c>
      <c r="BE27" s="60">
        <v>437245</v>
      </c>
      <c r="BF27" s="60">
        <v>501892</v>
      </c>
      <c r="BH27" s="31"/>
      <c r="BI27" s="31"/>
    </row>
    <row r="28" spans="1:61" ht="16" x14ac:dyDescent="0.2">
      <c r="A28" s="37">
        <v>23</v>
      </c>
      <c r="B28" s="17">
        <v>44498</v>
      </c>
      <c r="C28" s="56">
        <v>134.5</v>
      </c>
      <c r="D28" s="56">
        <v>33.5</v>
      </c>
      <c r="E28" s="56">
        <v>0.98499999999999999</v>
      </c>
      <c r="F28" s="56">
        <v>1562.31</v>
      </c>
      <c r="G28" s="41">
        <v>234500</v>
      </c>
      <c r="H28" s="28">
        <v>64000</v>
      </c>
      <c r="I28" s="42">
        <v>240000</v>
      </c>
      <c r="J28" s="35"/>
      <c r="K28" s="38">
        <v>22</v>
      </c>
      <c r="L28" s="15">
        <v>44498</v>
      </c>
      <c r="M28" s="49">
        <f t="shared" si="4"/>
        <v>1.0518407212622132E-2</v>
      </c>
      <c r="N28" s="49">
        <f t="shared" si="5"/>
        <v>3.0769230769230771E-2</v>
      </c>
      <c r="O28" s="49">
        <f t="shared" si="6"/>
        <v>7.0652173913043417E-2</v>
      </c>
      <c r="P28" s="49">
        <f t="shared" si="0"/>
        <v>1.5938353492001556E-2</v>
      </c>
      <c r="Q28" s="35"/>
      <c r="R28" s="35"/>
      <c r="S28" s="35"/>
      <c r="T28" s="35"/>
      <c r="U28" s="35"/>
      <c r="V28" s="35"/>
      <c r="W28" s="35"/>
      <c r="X28" s="39">
        <v>22</v>
      </c>
      <c r="Y28" s="23">
        <v>44498</v>
      </c>
      <c r="Z28" s="44">
        <f t="shared" si="7"/>
        <v>0.91496598639455795</v>
      </c>
      <c r="AA28" s="44">
        <f t="shared" si="8"/>
        <v>0.68228105906313641</v>
      </c>
      <c r="AB28" s="44">
        <f t="shared" si="9"/>
        <v>1.5271317829457363</v>
      </c>
      <c r="AC28" s="44">
        <f t="shared" si="10"/>
        <v>0.98335179636949621</v>
      </c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6">
        <v>22</v>
      </c>
      <c r="AP28" s="27">
        <v>44498</v>
      </c>
      <c r="AQ28" s="29">
        <f t="shared" si="1"/>
        <v>31540250</v>
      </c>
      <c r="AR28" s="29">
        <f t="shared" si="2"/>
        <v>2144000</v>
      </c>
      <c r="AS28" s="29">
        <f t="shared" si="3"/>
        <v>236400</v>
      </c>
      <c r="AT28" s="45"/>
      <c r="AU28" s="51"/>
      <c r="AV28" s="35"/>
      <c r="AW28" s="35"/>
      <c r="AX28" s="35"/>
      <c r="AY28" s="45"/>
      <c r="BH28" s="31"/>
      <c r="BI28" s="31"/>
    </row>
    <row r="29" spans="1:61" ht="16" x14ac:dyDescent="0.2">
      <c r="A29" s="37">
        <v>24</v>
      </c>
      <c r="B29" s="17">
        <v>44530</v>
      </c>
      <c r="C29" s="56">
        <v>133.6</v>
      </c>
      <c r="D29" s="56">
        <v>33.200000000000003</v>
      </c>
      <c r="E29" s="56">
        <v>0.9</v>
      </c>
      <c r="F29" s="56">
        <v>1513.98</v>
      </c>
      <c r="G29" s="41">
        <v>234500</v>
      </c>
      <c r="H29" s="28">
        <v>64000</v>
      </c>
      <c r="I29" s="42">
        <v>240000</v>
      </c>
      <c r="J29" s="35"/>
      <c r="K29" s="38">
        <v>23</v>
      </c>
      <c r="L29" s="15">
        <v>44530</v>
      </c>
      <c r="M29" s="49">
        <f t="shared" si="4"/>
        <v>-6.6914498141264359E-3</v>
      </c>
      <c r="N29" s="49">
        <f t="shared" si="5"/>
        <v>-8.9552238805969304E-3</v>
      </c>
      <c r="O29" s="49">
        <f t="shared" si="6"/>
        <v>-8.629441624365479E-2</v>
      </c>
      <c r="P29" s="49">
        <f t="shared" si="0"/>
        <v>-3.0934961691341623E-2</v>
      </c>
      <c r="Q29" s="35"/>
      <c r="R29" s="5"/>
      <c r="S29" s="35"/>
      <c r="T29" s="35"/>
      <c r="U29" s="35"/>
      <c r="V29" s="35"/>
      <c r="W29" s="35"/>
      <c r="X29" s="39">
        <v>23</v>
      </c>
      <c r="Y29" s="23">
        <v>44530</v>
      </c>
      <c r="Z29" s="44">
        <f t="shared" si="7"/>
        <v>0.90884353741496615</v>
      </c>
      <c r="AA29" s="44">
        <f t="shared" si="8"/>
        <v>0.67617107942973531</v>
      </c>
      <c r="AB29" s="44">
        <f t="shared" si="9"/>
        <v>1.3953488372093024</v>
      </c>
      <c r="AC29" s="44">
        <f t="shared" si="10"/>
        <v>0.95293184621969396</v>
      </c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6">
        <v>23</v>
      </c>
      <c r="AP29" s="27">
        <v>44530</v>
      </c>
      <c r="AQ29" s="29">
        <f t="shared" si="1"/>
        <v>31329200</v>
      </c>
      <c r="AR29" s="29">
        <f t="shared" si="2"/>
        <v>2124800</v>
      </c>
      <c r="AS29" s="29">
        <f t="shared" si="3"/>
        <v>216000</v>
      </c>
      <c r="AT29" s="45"/>
      <c r="AU29" s="51"/>
      <c r="AV29" s="35"/>
      <c r="AW29" s="35"/>
      <c r="AX29" s="35"/>
      <c r="AY29" s="45"/>
      <c r="AZ29" s="9" t="s">
        <v>56</v>
      </c>
      <c r="BA29" s="10">
        <v>2020</v>
      </c>
      <c r="BB29" s="10">
        <v>2021</v>
      </c>
      <c r="BC29" s="10">
        <v>2022</v>
      </c>
      <c r="BD29" s="10">
        <v>2023</v>
      </c>
      <c r="BE29" s="10">
        <v>2024</v>
      </c>
      <c r="BI29" s="31"/>
    </row>
    <row r="30" spans="1:61" ht="16" x14ac:dyDescent="0.2">
      <c r="A30" s="37">
        <v>25</v>
      </c>
      <c r="B30" s="17">
        <v>44561</v>
      </c>
      <c r="C30" s="56">
        <v>134.19999999999999</v>
      </c>
      <c r="D30" s="56">
        <v>33.520000000000003</v>
      </c>
      <c r="E30" s="56">
        <v>0.92</v>
      </c>
      <c r="F30" s="56">
        <v>1567.53</v>
      </c>
      <c r="G30" s="41">
        <v>234500</v>
      </c>
      <c r="H30" s="28">
        <v>64000</v>
      </c>
      <c r="I30" s="42">
        <v>240000</v>
      </c>
      <c r="J30" s="35"/>
      <c r="K30" s="38">
        <v>24</v>
      </c>
      <c r="L30" s="15">
        <v>44561</v>
      </c>
      <c r="M30" s="49">
        <f t="shared" si="4"/>
        <v>4.4910179640718136E-3</v>
      </c>
      <c r="N30" s="49">
        <f t="shared" si="5"/>
        <v>9.6385542168674777E-3</v>
      </c>
      <c r="O30" s="49">
        <f t="shared" si="6"/>
        <v>2.222222222222224E-2</v>
      </c>
      <c r="P30" s="49">
        <f t="shared" si="0"/>
        <v>3.5370348353346778E-2</v>
      </c>
      <c r="Q30" s="35"/>
      <c r="R30" s="35"/>
      <c r="S30" s="35"/>
      <c r="T30" s="35"/>
      <c r="U30" s="35"/>
      <c r="V30" s="35"/>
      <c r="W30" s="35"/>
      <c r="X30" s="39">
        <v>24</v>
      </c>
      <c r="Y30" s="23">
        <v>44561</v>
      </c>
      <c r="Z30" s="44">
        <f t="shared" si="7"/>
        <v>0.91292517006802731</v>
      </c>
      <c r="AA30" s="44">
        <f t="shared" si="8"/>
        <v>0.68268839103869672</v>
      </c>
      <c r="AB30" s="44">
        <f t="shared" si="9"/>
        <v>1.4263565891472867</v>
      </c>
      <c r="AC30" s="44">
        <f t="shared" si="10"/>
        <v>0.98663737757748238</v>
      </c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6">
        <v>24</v>
      </c>
      <c r="AP30" s="27">
        <v>44561</v>
      </c>
      <c r="AQ30" s="29">
        <f t="shared" si="1"/>
        <v>31469899.999999996</v>
      </c>
      <c r="AR30" s="29">
        <f t="shared" si="2"/>
        <v>2145280</v>
      </c>
      <c r="AS30" s="29">
        <f t="shared" si="3"/>
        <v>220800</v>
      </c>
      <c r="AT30" s="45"/>
      <c r="AU30" s="51"/>
      <c r="AV30" s="35"/>
      <c r="AW30" s="35"/>
      <c r="AX30" s="35"/>
      <c r="AY30" s="45"/>
      <c r="AZ30" s="7" t="s">
        <v>59</v>
      </c>
      <c r="BA30" s="54">
        <f t="shared" ref="BA30:BE31" si="18">(BA26+BB26)/2</f>
        <v>471219.5</v>
      </c>
      <c r="BB30" s="54">
        <f t="shared" si="18"/>
        <v>600038.5</v>
      </c>
      <c r="BC30" s="54">
        <f t="shared" si="18"/>
        <v>772703</v>
      </c>
      <c r="BD30" s="54">
        <f t="shared" si="18"/>
        <v>895525</v>
      </c>
      <c r="BE30" s="54">
        <f t="shared" si="18"/>
        <v>1010304</v>
      </c>
      <c r="BF30" s="1"/>
    </row>
    <row r="31" spans="1:61" ht="16" x14ac:dyDescent="0.2">
      <c r="A31" s="37">
        <v>26</v>
      </c>
      <c r="B31" s="17">
        <v>44592</v>
      </c>
      <c r="C31" s="56">
        <v>132</v>
      </c>
      <c r="D31" s="56">
        <v>32.299999999999997</v>
      </c>
      <c r="E31" s="56">
        <v>0.89500000000000002</v>
      </c>
      <c r="F31" s="56">
        <v>1512.27</v>
      </c>
      <c r="G31" s="41">
        <v>234500</v>
      </c>
      <c r="H31" s="28">
        <v>64000</v>
      </c>
      <c r="I31" s="42">
        <v>240000</v>
      </c>
      <c r="J31" s="35"/>
      <c r="K31" s="38">
        <v>25</v>
      </c>
      <c r="L31" s="15">
        <v>44592</v>
      </c>
      <c r="M31" s="49">
        <f t="shared" si="4"/>
        <v>-1.6393442622950737E-2</v>
      </c>
      <c r="N31" s="49">
        <f t="shared" si="5"/>
        <v>-3.6396181384248383E-2</v>
      </c>
      <c r="O31" s="49">
        <f t="shared" si="6"/>
        <v>-2.7173913043478284E-2</v>
      </c>
      <c r="P31" s="49">
        <f t="shared" si="0"/>
        <v>-3.5252913819831193E-2</v>
      </c>
      <c r="Q31" s="35"/>
      <c r="R31" s="35"/>
      <c r="S31" s="35"/>
      <c r="T31" s="35"/>
      <c r="U31" s="35"/>
      <c r="V31" s="35"/>
      <c r="W31" s="35"/>
      <c r="X31" s="39">
        <v>25</v>
      </c>
      <c r="Y31" s="23">
        <v>44592</v>
      </c>
      <c r="Z31" s="44">
        <f t="shared" si="7"/>
        <v>0.89795918367346961</v>
      </c>
      <c r="AA31" s="44">
        <f t="shared" si="8"/>
        <v>0.65784114052953158</v>
      </c>
      <c r="AB31" s="44">
        <f t="shared" si="9"/>
        <v>1.387596899224806</v>
      </c>
      <c r="AC31" s="44">
        <f t="shared" si="10"/>
        <v>0.95185553513431909</v>
      </c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6">
        <v>25</v>
      </c>
      <c r="AP31" s="27">
        <v>44592</v>
      </c>
      <c r="AQ31" s="29">
        <f t="shared" si="1"/>
        <v>30954000</v>
      </c>
      <c r="AR31" s="29">
        <f t="shared" si="2"/>
        <v>2067199.9999999998</v>
      </c>
      <c r="AS31" s="29">
        <f t="shared" si="3"/>
        <v>214800</v>
      </c>
      <c r="AT31" s="45"/>
      <c r="AU31" s="51"/>
      <c r="AV31" s="35"/>
      <c r="AW31" s="35"/>
      <c r="AX31" s="35"/>
      <c r="AY31" s="45"/>
      <c r="AZ31" s="7" t="s">
        <v>61</v>
      </c>
      <c r="BA31" s="54">
        <f t="shared" si="18"/>
        <v>155498.5</v>
      </c>
      <c r="BB31" s="54">
        <f t="shared" si="18"/>
        <v>274580</v>
      </c>
      <c r="BC31" s="54">
        <f t="shared" si="18"/>
        <v>389715.5</v>
      </c>
      <c r="BD31" s="54">
        <f t="shared" si="18"/>
        <v>417048</v>
      </c>
      <c r="BE31" s="54">
        <f t="shared" si="18"/>
        <v>469568.5</v>
      </c>
    </row>
    <row r="32" spans="1:61" ht="16" x14ac:dyDescent="0.2">
      <c r="A32" s="37">
        <v>27</v>
      </c>
      <c r="B32" s="17">
        <v>44620</v>
      </c>
      <c r="C32" s="56">
        <v>134</v>
      </c>
      <c r="D32" s="56">
        <v>32.18</v>
      </c>
      <c r="E32" s="56">
        <v>1.1399999999999999</v>
      </c>
      <c r="F32" s="56">
        <v>1608.28</v>
      </c>
      <c r="G32" s="41">
        <v>234500</v>
      </c>
      <c r="H32" s="28">
        <v>64000</v>
      </c>
      <c r="I32" s="42">
        <v>240000</v>
      </c>
      <c r="J32" s="35"/>
      <c r="K32" s="38">
        <v>26</v>
      </c>
      <c r="L32" s="15">
        <v>44620</v>
      </c>
      <c r="M32" s="49">
        <f t="shared" si="4"/>
        <v>1.5151515151515152E-2</v>
      </c>
      <c r="N32" s="49">
        <f t="shared" si="5"/>
        <v>-3.7151702786376922E-3</v>
      </c>
      <c r="O32" s="49">
        <f t="shared" si="6"/>
        <v>0.27374301675977641</v>
      </c>
      <c r="P32" s="49">
        <f t="shared" si="0"/>
        <v>6.3487340223637306E-2</v>
      </c>
      <c r="Q32" s="35"/>
      <c r="R32" s="35"/>
      <c r="S32" s="35"/>
      <c r="T32" s="35"/>
      <c r="U32" s="35"/>
      <c r="V32" s="35"/>
      <c r="W32" s="35"/>
      <c r="X32" s="39">
        <v>26</v>
      </c>
      <c r="Y32" s="23">
        <v>44620</v>
      </c>
      <c r="Z32" s="44">
        <f t="shared" si="7"/>
        <v>0.91156462585034037</v>
      </c>
      <c r="AA32" s="44">
        <f t="shared" si="8"/>
        <v>0.65539714867617116</v>
      </c>
      <c r="AB32" s="44">
        <f t="shared" si="9"/>
        <v>1.7674418604651156</v>
      </c>
      <c r="AC32" s="44">
        <f t="shared" si="10"/>
        <v>1.0122863113371441</v>
      </c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6">
        <v>26</v>
      </c>
      <c r="AP32" s="27">
        <v>44620</v>
      </c>
      <c r="AQ32" s="29">
        <f t="shared" si="1"/>
        <v>31423000</v>
      </c>
      <c r="AR32" s="29">
        <f t="shared" si="2"/>
        <v>2059520</v>
      </c>
      <c r="AS32" s="29">
        <f t="shared" si="3"/>
        <v>273600</v>
      </c>
      <c r="AT32" s="45"/>
      <c r="AU32" s="51"/>
      <c r="AV32" s="35"/>
      <c r="AW32" s="35"/>
      <c r="AX32" s="35"/>
      <c r="AY32" s="45"/>
      <c r="AZ32" s="8" t="s">
        <v>63</v>
      </c>
      <c r="BA32" s="64">
        <f>BB22/BB23</f>
        <v>32.72251308900524</v>
      </c>
      <c r="BB32" s="64">
        <f t="shared" ref="BB32:BE32" si="19">BC22/BC23</f>
        <v>8.6503225806451614</v>
      </c>
      <c r="BC32" s="64">
        <f t="shared" si="19"/>
        <v>41.825726141078839</v>
      </c>
      <c r="BD32" s="64">
        <f t="shared" si="19"/>
        <v>20.477453580901855</v>
      </c>
      <c r="BE32" s="64">
        <f t="shared" si="19"/>
        <v>19.986754966887418</v>
      </c>
    </row>
    <row r="33" spans="1:61" ht="16" x14ac:dyDescent="0.2">
      <c r="A33" s="37">
        <v>28</v>
      </c>
      <c r="B33" s="17">
        <v>44651</v>
      </c>
      <c r="C33" s="56">
        <v>133.6</v>
      </c>
      <c r="D33" s="56">
        <v>32.32</v>
      </c>
      <c r="E33" s="56">
        <v>1.03</v>
      </c>
      <c r="F33" s="56">
        <v>1587.36</v>
      </c>
      <c r="G33" s="41">
        <v>234500</v>
      </c>
      <c r="H33" s="28">
        <v>64000</v>
      </c>
      <c r="I33" s="42">
        <v>240000</v>
      </c>
      <c r="J33" s="35"/>
      <c r="K33" s="38">
        <v>27</v>
      </c>
      <c r="L33" s="15">
        <v>44651</v>
      </c>
      <c r="M33" s="49">
        <f t="shared" si="4"/>
        <v>-2.9850746268657142E-3</v>
      </c>
      <c r="N33" s="49">
        <f t="shared" si="5"/>
        <v>4.3505282784338274E-3</v>
      </c>
      <c r="O33" s="49">
        <f t="shared" si="6"/>
        <v>-9.6491228070175336E-2</v>
      </c>
      <c r="P33" s="49">
        <f t="shared" si="0"/>
        <v>-1.300768522894028E-2</v>
      </c>
      <c r="Q33" s="35"/>
      <c r="R33" s="35"/>
      <c r="S33" s="35"/>
      <c r="T33" s="35"/>
      <c r="U33" s="35"/>
      <c r="V33" s="35"/>
      <c r="W33" s="35"/>
      <c r="X33" s="39">
        <v>27</v>
      </c>
      <c r="Y33" s="23">
        <v>44651</v>
      </c>
      <c r="Z33" s="44">
        <f t="shared" si="7"/>
        <v>0.90884353741496615</v>
      </c>
      <c r="AA33" s="44">
        <f t="shared" si="8"/>
        <v>0.65824847250509166</v>
      </c>
      <c r="AB33" s="44">
        <f t="shared" si="9"/>
        <v>1.5968992248062013</v>
      </c>
      <c r="AC33" s="44">
        <f t="shared" si="10"/>
        <v>0.9991188096377055</v>
      </c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6">
        <v>27</v>
      </c>
      <c r="AP33" s="27">
        <v>44651</v>
      </c>
      <c r="AQ33" s="29">
        <f t="shared" si="1"/>
        <v>31329200</v>
      </c>
      <c r="AR33" s="29">
        <f t="shared" si="2"/>
        <v>2068480</v>
      </c>
      <c r="AS33" s="29">
        <f t="shared" si="3"/>
        <v>247200</v>
      </c>
      <c r="AT33" s="45"/>
      <c r="AU33" s="51"/>
      <c r="AV33" s="35"/>
      <c r="AW33" s="35"/>
      <c r="AX33" s="35"/>
      <c r="AY33" s="45"/>
      <c r="AZ33" s="7" t="s">
        <v>64</v>
      </c>
      <c r="BA33" s="64">
        <f>BB24/BB25</f>
        <v>6.6653704735072358E-2</v>
      </c>
      <c r="BB33" s="64">
        <f t="shared" ref="BB33:BE33" si="20">BC24/BC25</f>
        <v>0.21874638914100586</v>
      </c>
      <c r="BC33" s="64">
        <f t="shared" si="20"/>
        <v>3.4545807482398966E-2</v>
      </c>
      <c r="BD33" s="64">
        <f t="shared" si="20"/>
        <v>5.0175246721184785E-2</v>
      </c>
      <c r="BE33" s="64">
        <f t="shared" si="20"/>
        <v>6.6880450856739909E-2</v>
      </c>
    </row>
    <row r="34" spans="1:61" ht="16" x14ac:dyDescent="0.2">
      <c r="A34" s="37">
        <v>29</v>
      </c>
      <c r="B34" s="17">
        <v>44680</v>
      </c>
      <c r="C34" s="56">
        <v>133.19999999999999</v>
      </c>
      <c r="D34" s="56">
        <v>34</v>
      </c>
      <c r="E34" s="56">
        <v>1.02</v>
      </c>
      <c r="F34" s="56">
        <v>1600.43</v>
      </c>
      <c r="G34" s="41">
        <v>234500</v>
      </c>
      <c r="H34" s="28">
        <v>64000</v>
      </c>
      <c r="I34" s="42">
        <v>240000</v>
      </c>
      <c r="J34" s="35"/>
      <c r="K34" s="38">
        <v>28</v>
      </c>
      <c r="L34" s="15">
        <v>44680</v>
      </c>
      <c r="M34" s="49">
        <f t="shared" si="4"/>
        <v>-2.9940119760479469E-3</v>
      </c>
      <c r="N34" s="49">
        <f t="shared" si="5"/>
        <v>5.1980198019801971E-2</v>
      </c>
      <c r="O34" s="49">
        <f t="shared" si="6"/>
        <v>-9.7087378640776777E-3</v>
      </c>
      <c r="P34" s="49">
        <f t="shared" si="0"/>
        <v>8.2337969962706405E-3</v>
      </c>
      <c r="Q34" s="35"/>
      <c r="R34" s="35"/>
      <c r="S34" s="35"/>
      <c r="T34" s="35"/>
      <c r="U34" s="35"/>
      <c r="V34" s="35"/>
      <c r="W34" s="35"/>
      <c r="X34" s="39">
        <v>28</v>
      </c>
      <c r="Y34" s="23">
        <v>44680</v>
      </c>
      <c r="Z34" s="44">
        <f t="shared" si="7"/>
        <v>0.90612244897959193</v>
      </c>
      <c r="AA34" s="44">
        <f t="shared" si="8"/>
        <v>0.6924643584521385</v>
      </c>
      <c r="AB34" s="44">
        <f t="shared" si="9"/>
        <v>1.581395348837209</v>
      </c>
      <c r="AC34" s="44">
        <f t="shared" si="10"/>
        <v>1.0073453510914181</v>
      </c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6">
        <v>28</v>
      </c>
      <c r="AP34" s="27">
        <v>44680</v>
      </c>
      <c r="AQ34" s="29">
        <f t="shared" si="1"/>
        <v>31235399.999999996</v>
      </c>
      <c r="AR34" s="29">
        <f t="shared" si="2"/>
        <v>2176000</v>
      </c>
      <c r="AS34" s="29">
        <f t="shared" si="3"/>
        <v>244800</v>
      </c>
      <c r="AT34" s="45"/>
      <c r="AU34" s="51"/>
      <c r="AV34" s="35"/>
      <c r="AW34" s="35"/>
      <c r="AX34" s="35"/>
      <c r="AY34" s="45"/>
      <c r="AZ34" s="7" t="s">
        <v>66</v>
      </c>
      <c r="BA34" s="64">
        <f>BB25/BB26</f>
        <v>2.2064148182301118</v>
      </c>
      <c r="BB34" s="64">
        <f t="shared" ref="BB34:BE34" si="21">BC25/BC26</f>
        <v>1.6167730508590594</v>
      </c>
      <c r="BC34" s="64">
        <f t="shared" si="21"/>
        <v>1.5866515670939878</v>
      </c>
      <c r="BD34" s="64">
        <f t="shared" si="21"/>
        <v>1.5237718560825282</v>
      </c>
      <c r="BE34" s="64">
        <f t="shared" si="21"/>
        <v>1.3458395577294893</v>
      </c>
    </row>
    <row r="35" spans="1:61" ht="16" x14ac:dyDescent="0.2">
      <c r="A35" s="37">
        <v>30</v>
      </c>
      <c r="B35" s="17">
        <v>44712</v>
      </c>
      <c r="C35" s="56">
        <v>134.80000000000001</v>
      </c>
      <c r="D35" s="56">
        <v>33.200000000000003</v>
      </c>
      <c r="E35" s="56">
        <v>0.995</v>
      </c>
      <c r="F35" s="56">
        <v>1570.1</v>
      </c>
      <c r="G35" s="41">
        <v>234500</v>
      </c>
      <c r="H35" s="28">
        <v>64000</v>
      </c>
      <c r="I35" s="42">
        <v>240000</v>
      </c>
      <c r="J35" s="35"/>
      <c r="K35" s="38">
        <v>29</v>
      </c>
      <c r="L35" s="15">
        <v>44712</v>
      </c>
      <c r="M35" s="49">
        <f t="shared" si="4"/>
        <v>1.2012012012012184E-2</v>
      </c>
      <c r="N35" s="49">
        <f t="shared" si="5"/>
        <v>-2.3529411764705799E-2</v>
      </c>
      <c r="O35" s="49">
        <f t="shared" si="6"/>
        <v>-2.4509803921568648E-2</v>
      </c>
      <c r="P35" s="49">
        <f t="shared" si="0"/>
        <v>-1.8951156876589513E-2</v>
      </c>
      <c r="Q35" s="35"/>
      <c r="R35" s="35"/>
      <c r="S35" s="35"/>
      <c r="T35" s="35"/>
      <c r="U35" s="35"/>
      <c r="V35" s="35"/>
      <c r="W35" s="35"/>
      <c r="X35" s="39">
        <v>29</v>
      </c>
      <c r="Y35" s="23">
        <v>44712</v>
      </c>
      <c r="Z35" s="44">
        <f t="shared" si="7"/>
        <v>0.9170068027210887</v>
      </c>
      <c r="AA35" s="44">
        <f t="shared" si="8"/>
        <v>0.67617107942973531</v>
      </c>
      <c r="AB35" s="44">
        <f t="shared" si="9"/>
        <v>1.5426356589147283</v>
      </c>
      <c r="AC35" s="44">
        <f t="shared" si="10"/>
        <v>0.98825499131398142</v>
      </c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6">
        <v>29</v>
      </c>
      <c r="AP35" s="27">
        <v>44712</v>
      </c>
      <c r="AQ35" s="29">
        <f t="shared" si="1"/>
        <v>31610600.000000004</v>
      </c>
      <c r="AR35" s="29">
        <f t="shared" si="2"/>
        <v>2124800</v>
      </c>
      <c r="AS35" s="29">
        <f t="shared" si="3"/>
        <v>238800</v>
      </c>
      <c r="AT35" s="45"/>
      <c r="AU35" s="51"/>
      <c r="AV35" s="35"/>
      <c r="AW35" s="35"/>
      <c r="AX35" s="35"/>
      <c r="AY35" s="45"/>
      <c r="AZ35" s="7" t="s">
        <v>67</v>
      </c>
      <c r="BA35" s="64">
        <f>BB26/BB27</f>
        <v>2.9946272061471966</v>
      </c>
      <c r="BB35" s="64">
        <f t="shared" ref="BB35:BE35" si="22">BC26/BC27</f>
        <v>1.8329029222646245</v>
      </c>
      <c r="BC35" s="64">
        <f t="shared" si="22"/>
        <v>2.1271812342667653</v>
      </c>
      <c r="BD35" s="64">
        <f t="shared" si="22"/>
        <v>2.1655502064060195</v>
      </c>
      <c r="BE35" s="64">
        <f t="shared" si="22"/>
        <v>2.1393686291074574</v>
      </c>
    </row>
    <row r="36" spans="1:61" ht="16" x14ac:dyDescent="0.2">
      <c r="A36" s="37">
        <v>31</v>
      </c>
      <c r="B36" s="17">
        <v>44742</v>
      </c>
      <c r="C36" s="56">
        <v>132.6</v>
      </c>
      <c r="D36" s="56">
        <v>33.020000000000003</v>
      </c>
      <c r="E36" s="56">
        <v>0.95</v>
      </c>
      <c r="F36" s="56">
        <v>1444.22</v>
      </c>
      <c r="G36" s="41">
        <v>234500</v>
      </c>
      <c r="H36" s="28">
        <v>64000</v>
      </c>
      <c r="I36" s="42">
        <v>240000</v>
      </c>
      <c r="J36" s="35"/>
      <c r="K36" s="38">
        <v>30</v>
      </c>
      <c r="L36" s="15">
        <v>44742</v>
      </c>
      <c r="M36" s="49">
        <f t="shared" si="4"/>
        <v>-1.6320474777448198E-2</v>
      </c>
      <c r="N36" s="49">
        <f t="shared" si="5"/>
        <v>-5.4216867469879431E-3</v>
      </c>
      <c r="O36" s="49">
        <f t="shared" si="6"/>
        <v>-4.5226130653266375E-2</v>
      </c>
      <c r="P36" s="49">
        <f t="shared" si="0"/>
        <v>-8.017323737341564E-2</v>
      </c>
      <c r="Q36" s="35"/>
      <c r="R36" s="35"/>
      <c r="S36" s="35"/>
      <c r="T36" s="35"/>
      <c r="U36" s="35"/>
      <c r="V36" s="35"/>
      <c r="W36" s="35"/>
      <c r="X36" s="39">
        <v>30</v>
      </c>
      <c r="Y36" s="23">
        <v>44742</v>
      </c>
      <c r="Z36" s="44">
        <f t="shared" si="7"/>
        <v>0.90204081632653066</v>
      </c>
      <c r="AA36" s="44">
        <f t="shared" si="8"/>
        <v>0.67250509164969463</v>
      </c>
      <c r="AB36" s="44">
        <f t="shared" si="9"/>
        <v>1.4728682170542631</v>
      </c>
      <c r="AC36" s="44">
        <f t="shared" si="10"/>
        <v>0.90902338930990279</v>
      </c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6">
        <v>30</v>
      </c>
      <c r="AP36" s="27">
        <v>44742</v>
      </c>
      <c r="AQ36" s="29">
        <f t="shared" si="1"/>
        <v>31094700</v>
      </c>
      <c r="AR36" s="29">
        <f t="shared" si="2"/>
        <v>2113280</v>
      </c>
      <c r="AS36" s="29">
        <f t="shared" si="3"/>
        <v>228000</v>
      </c>
      <c r="AT36" s="45"/>
      <c r="AU36" s="51"/>
      <c r="AV36" s="35"/>
      <c r="AW36" s="35"/>
      <c r="AX36" s="35"/>
      <c r="AY36" s="45"/>
      <c r="AZ36" s="8" t="s">
        <v>68</v>
      </c>
      <c r="BA36" s="64">
        <f>BA33*BA34*BA35</f>
        <v>0.44040701164605606</v>
      </c>
      <c r="BB36" s="64">
        <f>BB33*BB34*BB35</f>
        <v>0.64823043546447801</v>
      </c>
      <c r="BC36" s="64">
        <f>BC33*BC34*BC35</f>
        <v>0.11659539726496848</v>
      </c>
      <c r="BD36" s="64">
        <f>BD33*BD34*BD35</f>
        <v>0.1655685027844801</v>
      </c>
      <c r="BE36" s="64">
        <f>BE33*BE34*BE35</f>
        <v>0.1925653327807576</v>
      </c>
    </row>
    <row r="37" spans="1:61" ht="16" x14ac:dyDescent="0.2">
      <c r="A37" s="37">
        <v>32</v>
      </c>
      <c r="B37" s="17">
        <v>44771</v>
      </c>
      <c r="C37" s="56">
        <v>134.69999999999999</v>
      </c>
      <c r="D37" s="56">
        <v>33</v>
      </c>
      <c r="E37" s="56">
        <v>0.98499999999999999</v>
      </c>
      <c r="F37" s="56">
        <v>1492.23</v>
      </c>
      <c r="G37" s="41">
        <v>234500</v>
      </c>
      <c r="H37" s="28">
        <v>64000</v>
      </c>
      <c r="I37" s="42">
        <v>240000</v>
      </c>
      <c r="J37" s="35"/>
      <c r="K37" s="38">
        <v>31</v>
      </c>
      <c r="L37" s="15">
        <v>44771</v>
      </c>
      <c r="M37" s="49">
        <f t="shared" si="4"/>
        <v>1.5837104072398148E-2</v>
      </c>
      <c r="N37" s="49">
        <f t="shared" si="5"/>
        <v>-6.0569351907944049E-4</v>
      </c>
      <c r="O37" s="49">
        <f t="shared" si="6"/>
        <v>3.6842105263157926E-2</v>
      </c>
      <c r="P37" s="49">
        <f t="shared" si="0"/>
        <v>3.3242857736355949E-2</v>
      </c>
      <c r="Q37" s="35"/>
      <c r="R37" s="35"/>
      <c r="S37" s="35"/>
      <c r="T37" s="35"/>
      <c r="U37" s="35"/>
      <c r="V37" s="35"/>
      <c r="W37" s="35"/>
      <c r="X37" s="39">
        <v>31</v>
      </c>
      <c r="Y37" s="23">
        <v>44771</v>
      </c>
      <c r="Z37" s="44">
        <f t="shared" si="7"/>
        <v>0.91632653061224489</v>
      </c>
      <c r="AA37" s="44">
        <f t="shared" si="8"/>
        <v>0.67209775967413443</v>
      </c>
      <c r="AB37" s="44">
        <f t="shared" si="9"/>
        <v>1.527131782945736</v>
      </c>
      <c r="AC37" s="44">
        <f t="shared" si="10"/>
        <v>0.93924192451975197</v>
      </c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6">
        <v>31</v>
      </c>
      <c r="AP37" s="27">
        <v>44771</v>
      </c>
      <c r="AQ37" s="29">
        <f t="shared" si="1"/>
        <v>31587149.999999996</v>
      </c>
      <c r="AR37" s="29">
        <f t="shared" si="2"/>
        <v>2112000</v>
      </c>
      <c r="AS37" s="29">
        <f t="shared" si="3"/>
        <v>236400</v>
      </c>
      <c r="AT37" s="45"/>
      <c r="AU37" s="51"/>
      <c r="AV37" s="35"/>
      <c r="AW37" s="35"/>
      <c r="AX37" s="35"/>
      <c r="AY37" s="45"/>
    </row>
    <row r="38" spans="1:61" ht="16" x14ac:dyDescent="0.2">
      <c r="A38" s="37">
        <v>33</v>
      </c>
      <c r="B38" s="17">
        <v>44804</v>
      </c>
      <c r="C38" s="56">
        <v>133</v>
      </c>
      <c r="D38" s="56">
        <v>32.200000000000003</v>
      </c>
      <c r="E38" s="56">
        <v>1.02</v>
      </c>
      <c r="F38" s="56">
        <v>1512.05</v>
      </c>
      <c r="G38" s="41">
        <v>234500</v>
      </c>
      <c r="H38" s="28">
        <v>64000</v>
      </c>
      <c r="I38" s="42">
        <v>240000</v>
      </c>
      <c r="J38" s="35"/>
      <c r="K38" s="38">
        <v>32</v>
      </c>
      <c r="L38" s="15">
        <v>44804</v>
      </c>
      <c r="M38" s="49">
        <f t="shared" si="4"/>
        <v>-1.2620638455827683E-2</v>
      </c>
      <c r="N38" s="49">
        <f t="shared" si="5"/>
        <v>-2.4242424242424156E-2</v>
      </c>
      <c r="O38" s="49">
        <f t="shared" si="6"/>
        <v>3.5532994923857898E-2</v>
      </c>
      <c r="P38" s="49">
        <f t="shared" si="0"/>
        <v>1.3282134791553537E-2</v>
      </c>
      <c r="Q38" s="35"/>
      <c r="R38" s="35"/>
      <c r="S38" s="35"/>
      <c r="T38" s="35"/>
      <c r="U38" s="35"/>
      <c r="V38" s="35"/>
      <c r="W38" s="35"/>
      <c r="X38" s="39">
        <v>32</v>
      </c>
      <c r="Y38" s="23">
        <v>44804</v>
      </c>
      <c r="Z38" s="44">
        <f t="shared" si="7"/>
        <v>0.90476190476190477</v>
      </c>
      <c r="AA38" s="44">
        <f t="shared" si="8"/>
        <v>0.65580448065173125</v>
      </c>
      <c r="AB38" s="44">
        <f t="shared" si="9"/>
        <v>1.5813953488372088</v>
      </c>
      <c r="AC38" s="44">
        <f t="shared" si="10"/>
        <v>0.95171706236310138</v>
      </c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6">
        <v>32</v>
      </c>
      <c r="AP38" s="27">
        <v>44804</v>
      </c>
      <c r="AQ38" s="29">
        <f t="shared" si="1"/>
        <v>31188500</v>
      </c>
      <c r="AR38" s="29">
        <f t="shared" si="2"/>
        <v>2060800.0000000002</v>
      </c>
      <c r="AS38" s="29">
        <f t="shared" si="3"/>
        <v>244800</v>
      </c>
      <c r="AT38" s="45"/>
      <c r="AU38" s="51"/>
      <c r="AV38" s="35"/>
      <c r="AW38" s="35"/>
      <c r="AX38" s="35"/>
      <c r="AY38" s="45"/>
      <c r="AZ38" s="68" t="s">
        <v>71</v>
      </c>
      <c r="BA38" s="68"/>
      <c r="BB38" s="68"/>
      <c r="BC38" s="68"/>
      <c r="BD38" s="68"/>
      <c r="BE38" s="68"/>
      <c r="BF38" s="68"/>
    </row>
    <row r="39" spans="1:61" ht="16" x14ac:dyDescent="0.2">
      <c r="A39" s="37">
        <v>34</v>
      </c>
      <c r="B39" s="17">
        <v>44834</v>
      </c>
      <c r="C39" s="56">
        <v>130.5</v>
      </c>
      <c r="D39" s="56">
        <v>31.02</v>
      </c>
      <c r="E39" s="56">
        <v>1.1200000000000001</v>
      </c>
      <c r="F39" s="56">
        <v>1394.63</v>
      </c>
      <c r="G39" s="41">
        <v>234500</v>
      </c>
      <c r="H39" s="28">
        <v>64000</v>
      </c>
      <c r="I39" s="42">
        <v>240000</v>
      </c>
      <c r="J39" s="35"/>
      <c r="K39" s="38">
        <v>33</v>
      </c>
      <c r="L39" s="15">
        <v>44834</v>
      </c>
      <c r="M39" s="49">
        <f t="shared" si="4"/>
        <v>-1.8796992481203006E-2</v>
      </c>
      <c r="N39" s="49">
        <f t="shared" si="5"/>
        <v>-3.6645962732919354E-2</v>
      </c>
      <c r="O39" s="49">
        <f t="shared" si="6"/>
        <v>9.8039215686274592E-2</v>
      </c>
      <c r="P39" s="49">
        <f t="shared" ref="P39:P66" si="23">(F39-F38)/F38</f>
        <v>-7.7656162163949508E-2</v>
      </c>
      <c r="Q39" s="35"/>
      <c r="R39" s="35"/>
      <c r="S39" s="35"/>
      <c r="T39" s="35"/>
      <c r="U39" s="35"/>
      <c r="V39" s="35"/>
      <c r="W39" s="35"/>
      <c r="X39" s="39">
        <v>33</v>
      </c>
      <c r="Y39" s="23">
        <v>44834</v>
      </c>
      <c r="Z39" s="44">
        <f t="shared" si="7"/>
        <v>0.88775510204081631</v>
      </c>
      <c r="AA39" s="44">
        <f t="shared" si="8"/>
        <v>0.63177189409368639</v>
      </c>
      <c r="AB39" s="44">
        <f t="shared" si="9"/>
        <v>1.7364341085271313</v>
      </c>
      <c r="AC39" s="44">
        <f t="shared" si="10"/>
        <v>0.87781036783403465</v>
      </c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6">
        <v>33</v>
      </c>
      <c r="AP39" s="27">
        <v>44834</v>
      </c>
      <c r="AQ39" s="29">
        <f t="shared" ref="AQ39:AQ66" si="24">C39*G39</f>
        <v>30602250</v>
      </c>
      <c r="AR39" s="29">
        <f t="shared" ref="AR39:AR66" si="25">D39*H39</f>
        <v>1985280</v>
      </c>
      <c r="AS39" s="29">
        <f t="shared" ref="AS39:AS66" si="26">E39*I39</f>
        <v>268800</v>
      </c>
      <c r="AT39" s="45"/>
      <c r="AU39" s="51"/>
      <c r="AV39" s="35"/>
      <c r="AW39" s="35"/>
      <c r="AX39" s="35"/>
      <c r="AY39" s="45"/>
      <c r="AZ39" s="9" t="s">
        <v>7</v>
      </c>
      <c r="BA39" s="10">
        <v>2019</v>
      </c>
      <c r="BB39" s="10">
        <v>2020</v>
      </c>
      <c r="BC39" s="10">
        <v>2021</v>
      </c>
      <c r="BD39" s="10">
        <v>2022</v>
      </c>
      <c r="BE39" s="10">
        <v>2023</v>
      </c>
      <c r="BF39" s="10">
        <v>2024</v>
      </c>
    </row>
    <row r="40" spans="1:61" ht="16" x14ac:dyDescent="0.2">
      <c r="A40" s="37">
        <v>35</v>
      </c>
      <c r="B40" s="17">
        <v>44865</v>
      </c>
      <c r="C40" s="56">
        <v>133</v>
      </c>
      <c r="D40" s="56">
        <v>30.3</v>
      </c>
      <c r="E40" s="56">
        <v>1.23</v>
      </c>
      <c r="F40" s="56">
        <v>1460.38</v>
      </c>
      <c r="G40" s="41">
        <v>234500</v>
      </c>
      <c r="H40" s="28">
        <v>64000</v>
      </c>
      <c r="I40" s="42">
        <v>240000</v>
      </c>
      <c r="J40" s="35"/>
      <c r="K40" s="38">
        <v>34</v>
      </c>
      <c r="L40" s="15">
        <v>44865</v>
      </c>
      <c r="M40" s="49">
        <f t="shared" ref="M40:M66" si="27">(C40-C39)/C39</f>
        <v>1.9157088122605363E-2</v>
      </c>
      <c r="N40" s="49">
        <f t="shared" si="5"/>
        <v>-2.3210831721469982E-2</v>
      </c>
      <c r="O40" s="49">
        <f t="shared" si="6"/>
        <v>9.8214285714285587E-2</v>
      </c>
      <c r="P40" s="49">
        <f t="shared" si="23"/>
        <v>4.7145120928131473E-2</v>
      </c>
      <c r="Q40" s="35"/>
      <c r="R40" s="35"/>
      <c r="S40" s="35"/>
      <c r="T40" s="35"/>
      <c r="U40" s="35"/>
      <c r="V40" s="35"/>
      <c r="W40" s="35"/>
      <c r="X40" s="39">
        <v>34</v>
      </c>
      <c r="Y40" s="23">
        <v>44865</v>
      </c>
      <c r="Z40" s="44">
        <f t="shared" si="7"/>
        <v>0.90476190476190466</v>
      </c>
      <c r="AA40" s="44">
        <f t="shared" si="8"/>
        <v>0.61710794297352345</v>
      </c>
      <c r="AB40" s="44">
        <f t="shared" si="9"/>
        <v>1.9069767441860457</v>
      </c>
      <c r="AC40" s="44">
        <f t="shared" si="10"/>
        <v>0.9191948437775378</v>
      </c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6">
        <v>34</v>
      </c>
      <c r="AP40" s="27">
        <v>44865</v>
      </c>
      <c r="AQ40" s="29">
        <f t="shared" si="24"/>
        <v>31188500</v>
      </c>
      <c r="AR40" s="29">
        <f t="shared" si="25"/>
        <v>1939200</v>
      </c>
      <c r="AS40" s="29">
        <f t="shared" si="26"/>
        <v>295200</v>
      </c>
      <c r="AT40" s="45"/>
      <c r="AU40" s="51"/>
      <c r="AV40" s="35"/>
      <c r="AW40" s="35"/>
      <c r="AX40" s="35"/>
      <c r="AY40" s="45"/>
      <c r="AZ40" s="7" t="s">
        <v>28</v>
      </c>
      <c r="BA40" s="6"/>
      <c r="BB40" s="65">
        <f>E9</f>
        <v>0.56999999999999995</v>
      </c>
      <c r="BC40" s="65">
        <f>E21</f>
        <v>0.83</v>
      </c>
      <c r="BD40" s="65">
        <f>E33</f>
        <v>1.03</v>
      </c>
      <c r="BE40" s="65">
        <f>E45</f>
        <v>1.1399999999999999</v>
      </c>
      <c r="BF40" s="65">
        <f>E57</f>
        <v>1.99</v>
      </c>
      <c r="BH40" s="32"/>
    </row>
    <row r="41" spans="1:61" ht="16" x14ac:dyDescent="0.2">
      <c r="A41" s="37">
        <v>36</v>
      </c>
      <c r="B41" s="17">
        <v>44895</v>
      </c>
      <c r="C41" s="56">
        <v>138.9</v>
      </c>
      <c r="D41" s="56">
        <v>30.54</v>
      </c>
      <c r="E41" s="56">
        <v>1.29</v>
      </c>
      <c r="F41" s="56">
        <v>1488.8</v>
      </c>
      <c r="G41" s="41">
        <v>234500</v>
      </c>
      <c r="H41" s="28">
        <v>64000</v>
      </c>
      <c r="I41" s="42">
        <v>240000</v>
      </c>
      <c r="J41" s="35"/>
      <c r="K41" s="38">
        <v>35</v>
      </c>
      <c r="L41" s="15">
        <v>44895</v>
      </c>
      <c r="M41" s="49">
        <f t="shared" si="27"/>
        <v>4.4360902255639142E-2</v>
      </c>
      <c r="N41" s="49">
        <f t="shared" si="5"/>
        <v>7.9207920792078688E-3</v>
      </c>
      <c r="O41" s="49">
        <f t="shared" si="6"/>
        <v>4.8780487804878092E-2</v>
      </c>
      <c r="P41" s="49">
        <f t="shared" si="23"/>
        <v>1.9460688314000357E-2</v>
      </c>
      <c r="Q41" s="35"/>
      <c r="R41" s="35"/>
      <c r="S41" s="35"/>
      <c r="T41" s="35"/>
      <c r="V41" s="35"/>
      <c r="W41" s="35"/>
      <c r="X41" s="39">
        <v>35</v>
      </c>
      <c r="Y41" s="23">
        <v>44895</v>
      </c>
      <c r="Z41" s="44">
        <f t="shared" si="7"/>
        <v>0.94489795918367336</v>
      </c>
      <c r="AA41" s="44">
        <f t="shared" si="8"/>
        <v>0.62199592668024439</v>
      </c>
      <c r="AB41" s="44">
        <f t="shared" si="9"/>
        <v>1.9999999999999991</v>
      </c>
      <c r="AC41" s="44">
        <f t="shared" si="10"/>
        <v>0.93708300813212864</v>
      </c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6">
        <v>35</v>
      </c>
      <c r="AP41" s="27">
        <v>44895</v>
      </c>
      <c r="AQ41" s="29">
        <f t="shared" si="24"/>
        <v>32572050</v>
      </c>
      <c r="AR41" s="29">
        <f t="shared" si="25"/>
        <v>1954560</v>
      </c>
      <c r="AS41" s="29">
        <f t="shared" si="26"/>
        <v>309600</v>
      </c>
      <c r="AT41" s="45"/>
      <c r="AU41" s="51"/>
      <c r="AV41" s="35"/>
      <c r="AW41" s="35"/>
      <c r="AX41" s="35"/>
      <c r="AY41" s="45"/>
      <c r="AZ41" s="7" t="s">
        <v>39</v>
      </c>
      <c r="BA41" s="61">
        <v>5.8999999999999997E-2</v>
      </c>
      <c r="BB41" s="61">
        <v>4.2000000000000003E-2</v>
      </c>
      <c r="BC41" s="61">
        <v>7.6999999999999999E-2</v>
      </c>
      <c r="BD41" s="61">
        <v>7.5999999999999998E-2</v>
      </c>
      <c r="BE41" s="62">
        <v>0.08</v>
      </c>
      <c r="BF41" s="62">
        <v>0.18</v>
      </c>
      <c r="BH41" s="32"/>
      <c r="BI41" s="32"/>
    </row>
    <row r="42" spans="1:61" ht="16" x14ac:dyDescent="0.2">
      <c r="A42" s="37">
        <v>37</v>
      </c>
      <c r="B42" s="17">
        <v>44925</v>
      </c>
      <c r="C42" s="56">
        <v>140</v>
      </c>
      <c r="D42" s="56">
        <v>30.24</v>
      </c>
      <c r="E42" s="56">
        <v>1.34</v>
      </c>
      <c r="F42" s="56">
        <v>1495.49</v>
      </c>
      <c r="G42" s="41">
        <v>234500</v>
      </c>
      <c r="H42" s="28">
        <v>64000</v>
      </c>
      <c r="I42" s="42">
        <v>240000</v>
      </c>
      <c r="J42" s="35"/>
      <c r="K42" s="38">
        <v>36</v>
      </c>
      <c r="L42" s="15">
        <v>44925</v>
      </c>
      <c r="M42" s="49">
        <f t="shared" si="27"/>
        <v>7.919366450683904E-3</v>
      </c>
      <c r="N42" s="49">
        <f t="shared" si="5"/>
        <v>-9.8231827111984523E-3</v>
      </c>
      <c r="O42" s="49">
        <f t="shared" si="6"/>
        <v>3.8759689922480654E-2</v>
      </c>
      <c r="P42" s="49">
        <f t="shared" si="23"/>
        <v>4.4935518538420571E-3</v>
      </c>
      <c r="Q42" s="35"/>
      <c r="R42" s="35"/>
      <c r="S42" s="35"/>
      <c r="T42" s="35"/>
      <c r="U42" s="35"/>
      <c r="V42" s="35"/>
      <c r="W42" s="35"/>
      <c r="X42" s="39">
        <v>36</v>
      </c>
      <c r="Y42" s="23">
        <v>44925</v>
      </c>
      <c r="Z42" s="44">
        <f t="shared" si="7"/>
        <v>0.95238095238095211</v>
      </c>
      <c r="AA42" s="44">
        <f t="shared" si="8"/>
        <v>0.61588594704684319</v>
      </c>
      <c r="AB42" s="44">
        <f t="shared" si="9"/>
        <v>2.0775193798449605</v>
      </c>
      <c r="AC42" s="44">
        <f t="shared" si="10"/>
        <v>0.94129383922052468</v>
      </c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6">
        <v>36</v>
      </c>
      <c r="AP42" s="27">
        <v>44925</v>
      </c>
      <c r="AQ42" s="29">
        <f t="shared" si="24"/>
        <v>32830000</v>
      </c>
      <c r="AR42" s="29">
        <f t="shared" si="25"/>
        <v>1935360</v>
      </c>
      <c r="AS42" s="29">
        <f t="shared" si="26"/>
        <v>321600</v>
      </c>
      <c r="AT42" s="45"/>
      <c r="AU42" s="51"/>
      <c r="AV42" s="35"/>
      <c r="AW42" s="35"/>
      <c r="AX42" s="35"/>
      <c r="AY42" s="45"/>
      <c r="AZ42" s="7" t="s">
        <v>42</v>
      </c>
      <c r="BA42" s="63">
        <v>14219</v>
      </c>
      <c r="BB42" s="63">
        <v>10019</v>
      </c>
      <c r="BC42" s="63">
        <v>18496</v>
      </c>
      <c r="BD42" s="63">
        <v>18163</v>
      </c>
      <c r="BE42" s="63">
        <v>19126</v>
      </c>
      <c r="BF42" s="63">
        <v>43294</v>
      </c>
      <c r="BH42" s="32"/>
      <c r="BI42" s="32"/>
    </row>
    <row r="43" spans="1:61" ht="16" x14ac:dyDescent="0.2">
      <c r="A43" s="37">
        <v>38</v>
      </c>
      <c r="B43" s="17">
        <v>44957</v>
      </c>
      <c r="C43" s="56">
        <v>135.19999999999999</v>
      </c>
      <c r="D43" s="56">
        <v>29.72</v>
      </c>
      <c r="E43" s="56">
        <v>1.3</v>
      </c>
      <c r="F43" s="56">
        <v>1485.5</v>
      </c>
      <c r="G43" s="41">
        <v>234500</v>
      </c>
      <c r="H43" s="28">
        <v>64000</v>
      </c>
      <c r="I43" s="42">
        <v>240000</v>
      </c>
      <c r="J43" s="35"/>
      <c r="K43" s="38">
        <v>37</v>
      </c>
      <c r="L43" s="15">
        <v>44957</v>
      </c>
      <c r="M43" s="49">
        <f t="shared" si="27"/>
        <v>-3.4285714285714364E-2</v>
      </c>
      <c r="N43" s="49">
        <f t="shared" si="5"/>
        <v>-1.7195767195767181E-2</v>
      </c>
      <c r="O43" s="49">
        <f t="shared" si="6"/>
        <v>-2.985074626865674E-2</v>
      </c>
      <c r="P43" s="49">
        <f t="shared" si="23"/>
        <v>-6.6800847882633844E-3</v>
      </c>
      <c r="Q43" s="35"/>
      <c r="R43" s="35"/>
      <c r="S43" s="35"/>
      <c r="T43" s="35"/>
      <c r="U43" s="35"/>
      <c r="V43" s="35"/>
      <c r="W43" s="35"/>
      <c r="X43" s="39">
        <v>37</v>
      </c>
      <c r="Y43" s="23">
        <v>44957</v>
      </c>
      <c r="Z43" s="44">
        <f t="shared" si="7"/>
        <v>0.91972789115646225</v>
      </c>
      <c r="AA43" s="44">
        <f t="shared" si="8"/>
        <v>0.60529531568228101</v>
      </c>
      <c r="AB43" s="44">
        <f t="shared" si="9"/>
        <v>2.0155038759689914</v>
      </c>
      <c r="AC43" s="44">
        <f t="shared" si="10"/>
        <v>0.93500591656386156</v>
      </c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6">
        <v>37</v>
      </c>
      <c r="AP43" s="27">
        <v>44957</v>
      </c>
      <c r="AQ43" s="29">
        <f t="shared" si="24"/>
        <v>31704399.999999996</v>
      </c>
      <c r="AR43" s="29">
        <f t="shared" si="25"/>
        <v>1902080</v>
      </c>
      <c r="AS43" s="29">
        <f t="shared" si="26"/>
        <v>312000</v>
      </c>
      <c r="AT43" s="45"/>
      <c r="AU43" s="51"/>
      <c r="AV43" s="35"/>
      <c r="AW43" s="35"/>
      <c r="AX43" s="35"/>
      <c r="AY43" s="45"/>
      <c r="AZ43" s="7" t="s">
        <v>45</v>
      </c>
      <c r="BA43" s="63">
        <v>286548</v>
      </c>
      <c r="BB43" s="63">
        <v>266910</v>
      </c>
      <c r="BC43" s="63">
        <v>295809</v>
      </c>
      <c r="BD43" s="63">
        <v>288124</v>
      </c>
      <c r="BE43" s="63">
        <v>360013</v>
      </c>
      <c r="BF43" s="63">
        <v>431724</v>
      </c>
      <c r="BH43" s="32"/>
      <c r="BI43" s="32"/>
    </row>
    <row r="44" spans="1:61" ht="16" x14ac:dyDescent="0.2">
      <c r="A44" s="37">
        <v>39</v>
      </c>
      <c r="B44" s="17">
        <v>44985</v>
      </c>
      <c r="C44" s="56">
        <v>135.1</v>
      </c>
      <c r="D44" s="56">
        <v>29.14</v>
      </c>
      <c r="E44" s="56">
        <v>1.0900000000000001</v>
      </c>
      <c r="F44" s="56">
        <v>1454.19</v>
      </c>
      <c r="G44" s="41">
        <v>234500</v>
      </c>
      <c r="H44" s="28">
        <v>64000</v>
      </c>
      <c r="I44" s="42">
        <v>240000</v>
      </c>
      <c r="J44" s="35"/>
      <c r="K44" s="38">
        <v>38</v>
      </c>
      <c r="L44" s="15">
        <v>44985</v>
      </c>
      <c r="M44" s="49">
        <f t="shared" si="27"/>
        <v>-7.3964497041415921E-4</v>
      </c>
      <c r="N44" s="49">
        <f t="shared" si="5"/>
        <v>-1.9515477792732109E-2</v>
      </c>
      <c r="O44" s="49">
        <f t="shared" si="6"/>
        <v>-0.16153846153846149</v>
      </c>
      <c r="P44" s="49">
        <f t="shared" si="23"/>
        <v>-2.1077078424772768E-2</v>
      </c>
      <c r="Q44" s="35"/>
      <c r="R44" s="35"/>
      <c r="S44" s="35"/>
      <c r="T44" s="35"/>
      <c r="U44" s="35"/>
      <c r="V44" s="35"/>
      <c r="W44" s="35"/>
      <c r="X44" s="39">
        <v>38</v>
      </c>
      <c r="Y44" s="23">
        <v>44985</v>
      </c>
      <c r="Z44" s="44">
        <f t="shared" si="7"/>
        <v>0.91904761904761878</v>
      </c>
      <c r="AA44" s="44">
        <f t="shared" si="8"/>
        <v>0.59348268839103868</v>
      </c>
      <c r="AB44" s="44">
        <f t="shared" si="9"/>
        <v>1.6899224806201543</v>
      </c>
      <c r="AC44" s="44">
        <f t="shared" si="10"/>
        <v>0.91529872353281849</v>
      </c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6">
        <v>38</v>
      </c>
      <c r="AP44" s="27">
        <v>44985</v>
      </c>
      <c r="AQ44" s="29">
        <f t="shared" si="24"/>
        <v>31680950</v>
      </c>
      <c r="AR44" s="29">
        <f t="shared" si="25"/>
        <v>1864960</v>
      </c>
      <c r="AS44" s="29">
        <f t="shared" si="26"/>
        <v>261600.00000000003</v>
      </c>
      <c r="AT44" s="45"/>
      <c r="AU44" s="51"/>
      <c r="AV44" s="35"/>
      <c r="AW44" s="35"/>
      <c r="AX44" s="35"/>
      <c r="AY44" s="45"/>
      <c r="AZ44" s="7" t="s">
        <v>48</v>
      </c>
      <c r="BA44" s="63">
        <v>256058</v>
      </c>
      <c r="BB44" s="63">
        <v>248785</v>
      </c>
      <c r="BC44" s="63">
        <v>266791</v>
      </c>
      <c r="BD44" s="63">
        <v>282213</v>
      </c>
      <c r="BE44" s="63">
        <v>288125</v>
      </c>
      <c r="BF44" s="63">
        <v>328969</v>
      </c>
      <c r="BH44" s="32"/>
      <c r="BI44" s="32"/>
    </row>
    <row r="45" spans="1:61" ht="16" x14ac:dyDescent="0.2">
      <c r="A45" s="37">
        <v>40</v>
      </c>
      <c r="B45" s="17">
        <v>45016</v>
      </c>
      <c r="C45" s="56">
        <v>137.1</v>
      </c>
      <c r="D45" s="56">
        <v>26.46</v>
      </c>
      <c r="E45" s="56">
        <v>1.1399999999999999</v>
      </c>
      <c r="F45" s="56">
        <v>1422.59</v>
      </c>
      <c r="G45" s="41">
        <v>234500</v>
      </c>
      <c r="H45" s="28">
        <v>64000</v>
      </c>
      <c r="I45" s="42">
        <v>240000</v>
      </c>
      <c r="J45" s="35"/>
      <c r="K45" s="38">
        <v>39</v>
      </c>
      <c r="L45" s="15">
        <v>45016</v>
      </c>
      <c r="M45" s="49">
        <f t="shared" si="27"/>
        <v>1.4803849000740193E-2</v>
      </c>
      <c r="N45" s="49">
        <f t="shared" si="5"/>
        <v>-9.1969800960878506E-2</v>
      </c>
      <c r="O45" s="49">
        <f t="shared" si="6"/>
        <v>4.5871559633027359E-2</v>
      </c>
      <c r="P45" s="49">
        <f t="shared" si="23"/>
        <v>-2.1730310344590553E-2</v>
      </c>
      <c r="Q45" s="35"/>
      <c r="R45" s="35"/>
      <c r="S45" s="35"/>
      <c r="T45" s="35"/>
      <c r="U45" s="35"/>
      <c r="V45" s="35"/>
      <c r="W45" s="35"/>
      <c r="X45" s="39">
        <v>39</v>
      </c>
      <c r="Y45" s="23">
        <v>45016</v>
      </c>
      <c r="Z45" s="44">
        <f t="shared" si="7"/>
        <v>0.93265306122448965</v>
      </c>
      <c r="AA45" s="44">
        <f t="shared" si="8"/>
        <v>0.53890020366598779</v>
      </c>
      <c r="AB45" s="44">
        <f t="shared" si="9"/>
        <v>1.7674418604651154</v>
      </c>
      <c r="AC45" s="44">
        <f t="shared" si="10"/>
        <v>0.8954089982124428</v>
      </c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6">
        <v>39</v>
      </c>
      <c r="AP45" s="27">
        <v>45016</v>
      </c>
      <c r="AQ45" s="29">
        <f t="shared" si="24"/>
        <v>32149950</v>
      </c>
      <c r="AR45" s="29">
        <f t="shared" si="25"/>
        <v>1693440</v>
      </c>
      <c r="AS45" s="29">
        <f t="shared" si="26"/>
        <v>273600</v>
      </c>
      <c r="AT45" s="45"/>
      <c r="AU45" s="51"/>
      <c r="AV45" s="35"/>
      <c r="AW45" s="35"/>
      <c r="AX45" s="35"/>
      <c r="AY45" s="45"/>
      <c r="AZ45" s="7" t="s">
        <v>51</v>
      </c>
      <c r="BA45" s="63">
        <v>189598</v>
      </c>
      <c r="BB45" s="63">
        <v>194936</v>
      </c>
      <c r="BC45" s="63">
        <v>209176</v>
      </c>
      <c r="BD45" s="63">
        <v>220820</v>
      </c>
      <c r="BE45" s="63">
        <v>231196</v>
      </c>
      <c r="BF45" s="63">
        <v>263078</v>
      </c>
      <c r="BH45" s="32"/>
      <c r="BI45" s="32"/>
    </row>
    <row r="46" spans="1:61" ht="16" x14ac:dyDescent="0.2">
      <c r="A46" s="37">
        <v>41</v>
      </c>
      <c r="B46" s="17">
        <v>45044</v>
      </c>
      <c r="C46" s="56">
        <v>135.5</v>
      </c>
      <c r="D46" s="56">
        <v>26.12</v>
      </c>
      <c r="E46" s="56">
        <v>1.1000000000000001</v>
      </c>
      <c r="F46" s="56">
        <v>1415.95</v>
      </c>
      <c r="G46" s="41">
        <v>234500</v>
      </c>
      <c r="H46" s="28">
        <v>64000</v>
      </c>
      <c r="I46" s="42">
        <v>240000</v>
      </c>
      <c r="J46" s="35"/>
      <c r="K46" s="38">
        <v>40</v>
      </c>
      <c r="L46" s="15">
        <v>45044</v>
      </c>
      <c r="M46" s="49">
        <f t="shared" si="27"/>
        <v>-1.1670313639679025E-2</v>
      </c>
      <c r="N46" s="49">
        <f t="shared" si="5"/>
        <v>-1.2849584278155701E-2</v>
      </c>
      <c r="O46" s="49">
        <f t="shared" si="6"/>
        <v>-3.5087719298245452E-2</v>
      </c>
      <c r="P46" s="49">
        <f t="shared" si="23"/>
        <v>-4.6675430025515949E-3</v>
      </c>
      <c r="Q46" s="35"/>
      <c r="R46" s="35"/>
      <c r="S46" s="35"/>
      <c r="T46" s="35"/>
      <c r="U46" s="35"/>
      <c r="V46" s="35"/>
      <c r="W46" s="35"/>
      <c r="X46" s="39">
        <v>40</v>
      </c>
      <c r="Y46" s="23">
        <v>45044</v>
      </c>
      <c r="Z46" s="44">
        <f t="shared" si="7"/>
        <v>0.921768707482993</v>
      </c>
      <c r="AA46" s="44">
        <f t="shared" si="8"/>
        <v>0.5319755600814664</v>
      </c>
      <c r="AB46" s="44">
        <f t="shared" si="9"/>
        <v>1.7054263565891468</v>
      </c>
      <c r="AC46" s="44">
        <f t="shared" si="10"/>
        <v>0.89122963820841461</v>
      </c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6">
        <v>40</v>
      </c>
      <c r="AP46" s="27">
        <v>45044</v>
      </c>
      <c r="AQ46" s="29">
        <f t="shared" si="24"/>
        <v>31774750</v>
      </c>
      <c r="AR46" s="29">
        <f t="shared" si="25"/>
        <v>1671680</v>
      </c>
      <c r="AS46" s="29">
        <f t="shared" si="26"/>
        <v>264000</v>
      </c>
      <c r="AT46" s="45"/>
      <c r="AU46" s="51"/>
      <c r="AV46" s="35"/>
      <c r="AW46" s="35"/>
      <c r="AX46" s="35"/>
      <c r="AY46" s="45"/>
      <c r="BI46" s="32"/>
    </row>
    <row r="47" spans="1:61" ht="16" x14ac:dyDescent="0.2">
      <c r="A47" s="37">
        <v>42</v>
      </c>
      <c r="B47" s="17">
        <v>45077</v>
      </c>
      <c r="C47" s="56">
        <v>134</v>
      </c>
      <c r="D47" s="56">
        <v>25.38</v>
      </c>
      <c r="E47" s="56">
        <v>1.06</v>
      </c>
      <c r="F47" s="56">
        <v>1387.12</v>
      </c>
      <c r="G47" s="41">
        <v>234500</v>
      </c>
      <c r="H47" s="28">
        <v>64000</v>
      </c>
      <c r="I47" s="42">
        <v>240000</v>
      </c>
      <c r="J47" s="35"/>
      <c r="K47" s="38">
        <v>41</v>
      </c>
      <c r="L47" s="15">
        <v>45077</v>
      </c>
      <c r="M47" s="49">
        <f t="shared" si="27"/>
        <v>-1.107011070110701E-2</v>
      </c>
      <c r="N47" s="49">
        <f t="shared" si="5"/>
        <v>-2.8330781010719831E-2</v>
      </c>
      <c r="O47" s="49">
        <f t="shared" si="6"/>
        <v>-3.636363636363639E-2</v>
      </c>
      <c r="P47" s="49">
        <f t="shared" si="23"/>
        <v>-2.0360888449451008E-2</v>
      </c>
      <c r="Q47" s="35"/>
      <c r="R47" s="35"/>
      <c r="S47" s="35"/>
      <c r="T47" s="35"/>
      <c r="U47" s="35"/>
      <c r="V47" s="35"/>
      <c r="W47" s="35"/>
      <c r="X47" s="39">
        <v>41</v>
      </c>
      <c r="Y47" s="23">
        <v>45077</v>
      </c>
      <c r="Z47" s="44">
        <f t="shared" si="7"/>
        <v>0.91156462585033993</v>
      </c>
      <c r="AA47" s="44">
        <f t="shared" si="8"/>
        <v>0.51690427698574337</v>
      </c>
      <c r="AB47" s="44">
        <f t="shared" si="9"/>
        <v>1.6434108527131777</v>
      </c>
      <c r="AC47" s="44">
        <f t="shared" si="10"/>
        <v>0.87308341096200848</v>
      </c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6">
        <v>41</v>
      </c>
      <c r="AP47" s="27">
        <v>45077</v>
      </c>
      <c r="AQ47" s="29">
        <f t="shared" si="24"/>
        <v>31423000</v>
      </c>
      <c r="AR47" s="29">
        <f t="shared" si="25"/>
        <v>1624320</v>
      </c>
      <c r="AS47" s="29">
        <f t="shared" si="26"/>
        <v>254400</v>
      </c>
      <c r="AT47" s="45"/>
      <c r="AU47" s="51"/>
      <c r="AV47" s="35"/>
      <c r="AW47" s="35"/>
      <c r="AX47" s="35"/>
      <c r="AY47" s="45"/>
      <c r="AZ47" s="9" t="s">
        <v>56</v>
      </c>
      <c r="BA47" s="10">
        <v>2020</v>
      </c>
      <c r="BB47" s="10">
        <v>2021</v>
      </c>
      <c r="BC47" s="10">
        <v>2022</v>
      </c>
      <c r="BD47" s="10">
        <v>2023</v>
      </c>
      <c r="BE47" s="10">
        <v>2024</v>
      </c>
    </row>
    <row r="48" spans="1:61" ht="16" x14ac:dyDescent="0.2">
      <c r="A48" s="37">
        <v>43</v>
      </c>
      <c r="B48" s="17">
        <v>45107</v>
      </c>
      <c r="C48" s="56">
        <v>131</v>
      </c>
      <c r="D48" s="56">
        <v>22.34</v>
      </c>
      <c r="E48" s="56">
        <v>1.06</v>
      </c>
      <c r="F48" s="56">
        <v>1376.68</v>
      </c>
      <c r="G48" s="41">
        <v>234500</v>
      </c>
      <c r="H48" s="28">
        <v>64000</v>
      </c>
      <c r="I48" s="42">
        <v>240000</v>
      </c>
      <c r="J48" s="35"/>
      <c r="K48" s="38">
        <v>42</v>
      </c>
      <c r="L48" s="15">
        <v>45107</v>
      </c>
      <c r="M48" s="49">
        <f t="shared" si="27"/>
        <v>-2.2388059701492536E-2</v>
      </c>
      <c r="N48" s="49">
        <f t="shared" si="5"/>
        <v>-0.11977935382190698</v>
      </c>
      <c r="O48" s="49">
        <f t="shared" si="6"/>
        <v>0</v>
      </c>
      <c r="P48" s="49">
        <f t="shared" si="23"/>
        <v>-7.5263856047060301E-3</v>
      </c>
      <c r="Q48" s="35"/>
      <c r="R48" s="35"/>
      <c r="S48" s="35"/>
      <c r="T48" s="35"/>
      <c r="U48" s="35"/>
      <c r="V48" s="35"/>
      <c r="W48" s="35"/>
      <c r="X48" s="39">
        <v>42</v>
      </c>
      <c r="Y48" s="23">
        <v>45107</v>
      </c>
      <c r="Z48" s="44">
        <f t="shared" si="7"/>
        <v>0.89115646258503389</v>
      </c>
      <c r="AA48" s="44">
        <f t="shared" si="8"/>
        <v>0.45498981670061101</v>
      </c>
      <c r="AB48" s="44">
        <f t="shared" si="9"/>
        <v>1.6434108527131777</v>
      </c>
      <c r="AC48" s="44">
        <f t="shared" si="10"/>
        <v>0.86651224854603648</v>
      </c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6">
        <v>42</v>
      </c>
      <c r="AP48" s="27">
        <v>45107</v>
      </c>
      <c r="AQ48" s="29">
        <f t="shared" si="24"/>
        <v>30719500</v>
      </c>
      <c r="AR48" s="29">
        <f t="shared" si="25"/>
        <v>1429760</v>
      </c>
      <c r="AS48" s="29">
        <f t="shared" si="26"/>
        <v>254400</v>
      </c>
      <c r="AT48" s="45"/>
      <c r="AU48" s="51"/>
      <c r="AV48" s="35"/>
      <c r="AW48" s="35"/>
      <c r="AX48" s="35"/>
      <c r="AY48" s="45"/>
      <c r="AZ48" s="7" t="s">
        <v>59</v>
      </c>
      <c r="BA48" s="54">
        <f t="shared" ref="BA48:BE49" si="28">(BA44+BB44)/2</f>
        <v>252421.5</v>
      </c>
      <c r="BB48" s="54">
        <f t="shared" si="28"/>
        <v>257788</v>
      </c>
      <c r="BC48" s="54">
        <f t="shared" si="28"/>
        <v>274502</v>
      </c>
      <c r="BD48" s="54">
        <f t="shared" si="28"/>
        <v>285169</v>
      </c>
      <c r="BE48" s="54">
        <f t="shared" si="28"/>
        <v>308547</v>
      </c>
      <c r="BF48" s="1"/>
    </row>
    <row r="49" spans="1:57" ht="16" x14ac:dyDescent="0.2">
      <c r="A49" s="37">
        <v>44</v>
      </c>
      <c r="B49" s="17">
        <v>45138</v>
      </c>
      <c r="C49" s="56">
        <v>133.9</v>
      </c>
      <c r="D49" s="56">
        <v>21.32</v>
      </c>
      <c r="E49" s="56">
        <v>1.1000000000000001</v>
      </c>
      <c r="F49" s="56">
        <v>1459.43</v>
      </c>
      <c r="G49" s="41">
        <v>234500</v>
      </c>
      <c r="H49" s="28">
        <v>64000</v>
      </c>
      <c r="I49" s="42">
        <v>240000</v>
      </c>
      <c r="J49" s="35"/>
      <c r="K49" s="38">
        <v>43</v>
      </c>
      <c r="L49" s="15">
        <v>45138</v>
      </c>
      <c r="M49" s="49">
        <f t="shared" si="27"/>
        <v>2.2137404580152713E-2</v>
      </c>
      <c r="N49" s="49">
        <f t="shared" si="5"/>
        <v>-4.5658012533572052E-2</v>
      </c>
      <c r="O49" s="49">
        <f t="shared" si="6"/>
        <v>3.7735849056603807E-2</v>
      </c>
      <c r="P49" s="49">
        <f t="shared" si="23"/>
        <v>6.0108376674317919E-2</v>
      </c>
      <c r="Q49" s="35"/>
      <c r="R49" s="35"/>
      <c r="S49" s="35"/>
      <c r="T49" s="35"/>
      <c r="U49" s="35"/>
      <c r="V49" s="35"/>
      <c r="W49" s="35"/>
      <c r="X49" s="39">
        <v>43</v>
      </c>
      <c r="Y49" s="23">
        <v>45138</v>
      </c>
      <c r="Z49" s="44">
        <f t="shared" si="7"/>
        <v>0.91088435374149657</v>
      </c>
      <c r="AA49" s="44">
        <f t="shared" si="8"/>
        <v>0.43421588594704685</v>
      </c>
      <c r="AB49" s="44">
        <f t="shared" si="9"/>
        <v>1.7054263565891465</v>
      </c>
      <c r="AC49" s="44">
        <f t="shared" si="10"/>
        <v>0.91859689317455195</v>
      </c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6">
        <v>43</v>
      </c>
      <c r="AP49" s="27">
        <v>45138</v>
      </c>
      <c r="AQ49" s="29">
        <f t="shared" si="24"/>
        <v>31399550</v>
      </c>
      <c r="AR49" s="29">
        <f t="shared" si="25"/>
        <v>1364480</v>
      </c>
      <c r="AS49" s="29">
        <f t="shared" si="26"/>
        <v>264000</v>
      </c>
      <c r="AT49" s="45"/>
      <c r="AU49" s="51"/>
      <c r="AV49" s="35"/>
      <c r="AW49" s="35"/>
      <c r="AX49" s="35"/>
      <c r="AY49" s="45"/>
      <c r="AZ49" s="7" t="s">
        <v>61</v>
      </c>
      <c r="BA49" s="54">
        <f t="shared" si="28"/>
        <v>192267</v>
      </c>
      <c r="BB49" s="54">
        <f t="shared" si="28"/>
        <v>202056</v>
      </c>
      <c r="BC49" s="54">
        <f t="shared" si="28"/>
        <v>214998</v>
      </c>
      <c r="BD49" s="54">
        <f t="shared" si="28"/>
        <v>226008</v>
      </c>
      <c r="BE49" s="54">
        <f t="shared" si="28"/>
        <v>247137</v>
      </c>
    </row>
    <row r="50" spans="1:57" ht="16" x14ac:dyDescent="0.2">
      <c r="A50" s="37">
        <v>45</v>
      </c>
      <c r="B50" s="17">
        <v>45169</v>
      </c>
      <c r="C50" s="56">
        <v>130.5</v>
      </c>
      <c r="D50" s="56">
        <v>21.8</v>
      </c>
      <c r="E50" s="56">
        <v>1.1399999999999999</v>
      </c>
      <c r="F50" s="56">
        <v>1451.94</v>
      </c>
      <c r="G50" s="41">
        <v>234500</v>
      </c>
      <c r="H50" s="28">
        <v>64000</v>
      </c>
      <c r="I50" s="42">
        <v>240000</v>
      </c>
      <c r="J50" s="35"/>
      <c r="K50" s="38">
        <v>44</v>
      </c>
      <c r="L50" s="15">
        <v>45169</v>
      </c>
      <c r="M50" s="49">
        <f t="shared" si="27"/>
        <v>-2.5392083644510871E-2</v>
      </c>
      <c r="N50" s="49">
        <f t="shared" si="5"/>
        <v>2.251407129455912E-2</v>
      </c>
      <c r="O50" s="49">
        <f t="shared" si="6"/>
        <v>3.6363636363636188E-2</v>
      </c>
      <c r="P50" s="49">
        <f t="shared" si="23"/>
        <v>-5.1321406302460614E-3</v>
      </c>
      <c r="Q50" s="35"/>
      <c r="R50" s="35"/>
      <c r="S50" s="35"/>
      <c r="T50" s="35"/>
      <c r="U50" s="35"/>
      <c r="V50" s="35"/>
      <c r="W50" s="35"/>
      <c r="X50" s="39">
        <v>44</v>
      </c>
      <c r="Y50" s="23">
        <v>45169</v>
      </c>
      <c r="Z50" s="44">
        <f t="shared" si="7"/>
        <v>0.88775510204081631</v>
      </c>
      <c r="AA50" s="44">
        <f t="shared" si="8"/>
        <v>0.4439918533604888</v>
      </c>
      <c r="AB50" s="44">
        <f t="shared" si="9"/>
        <v>1.7674418604651152</v>
      </c>
      <c r="AC50" s="44">
        <f t="shared" si="10"/>
        <v>0.91388252473627307</v>
      </c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6">
        <v>44</v>
      </c>
      <c r="AP50" s="27">
        <v>45169</v>
      </c>
      <c r="AQ50" s="29">
        <f t="shared" si="24"/>
        <v>30602250</v>
      </c>
      <c r="AR50" s="29">
        <f t="shared" si="25"/>
        <v>1395200</v>
      </c>
      <c r="AS50" s="29">
        <f t="shared" si="26"/>
        <v>273600</v>
      </c>
      <c r="AT50" s="45"/>
      <c r="AU50" s="51"/>
      <c r="AV50" s="35"/>
      <c r="AW50" s="35"/>
      <c r="AX50" s="35"/>
      <c r="AY50" s="45"/>
      <c r="AZ50" s="8" t="s">
        <v>63</v>
      </c>
      <c r="BA50" s="64">
        <f>BB40/BB41</f>
        <v>13.571428571428569</v>
      </c>
      <c r="BB50" s="64">
        <f t="shared" ref="BB50:BE50" si="29">BC40/BC41</f>
        <v>10.779220779220779</v>
      </c>
      <c r="BC50" s="64">
        <f t="shared" si="29"/>
        <v>13.55263157894737</v>
      </c>
      <c r="BD50" s="64">
        <f t="shared" si="29"/>
        <v>14.249999999999998</v>
      </c>
      <c r="BE50" s="64">
        <f t="shared" si="29"/>
        <v>11.055555555555555</v>
      </c>
    </row>
    <row r="51" spans="1:57" ht="16" x14ac:dyDescent="0.2">
      <c r="A51" s="37">
        <v>46</v>
      </c>
      <c r="B51" s="17">
        <v>45198</v>
      </c>
      <c r="C51" s="56">
        <v>126.5</v>
      </c>
      <c r="D51" s="56">
        <v>22.56</v>
      </c>
      <c r="E51" s="56">
        <v>1.18</v>
      </c>
      <c r="F51" s="56">
        <v>1424.17</v>
      </c>
      <c r="G51" s="41">
        <v>234500</v>
      </c>
      <c r="H51" s="28">
        <v>64000</v>
      </c>
      <c r="I51" s="42">
        <v>240000</v>
      </c>
      <c r="J51" s="35"/>
      <c r="K51" s="38">
        <v>45</v>
      </c>
      <c r="L51" s="15">
        <v>45198</v>
      </c>
      <c r="M51" s="49">
        <f t="shared" si="27"/>
        <v>-3.0651340996168581E-2</v>
      </c>
      <c r="N51" s="49">
        <f t="shared" si="5"/>
        <v>3.4862385321100822E-2</v>
      </c>
      <c r="O51" s="49">
        <f t="shared" si="6"/>
        <v>3.5087719298245647E-2</v>
      </c>
      <c r="P51" s="49">
        <f t="shared" si="23"/>
        <v>-1.9126134688761232E-2</v>
      </c>
      <c r="Q51" s="35"/>
      <c r="R51" s="35"/>
      <c r="S51" s="35"/>
      <c r="T51" s="35"/>
      <c r="U51" s="35"/>
      <c r="V51" s="35"/>
      <c r="W51" s="35"/>
      <c r="X51" s="39">
        <v>45</v>
      </c>
      <c r="Y51" s="23">
        <v>45198</v>
      </c>
      <c r="Z51" s="44">
        <f t="shared" si="7"/>
        <v>0.86054421768707479</v>
      </c>
      <c r="AA51" s="44">
        <f t="shared" si="8"/>
        <v>0.45947046843177181</v>
      </c>
      <c r="AB51" s="44">
        <f t="shared" si="9"/>
        <v>1.8294573643410843</v>
      </c>
      <c r="AC51" s="44">
        <f t="shared" si="10"/>
        <v>0.89640348447846196</v>
      </c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6">
        <v>45</v>
      </c>
      <c r="AP51" s="27">
        <v>45198</v>
      </c>
      <c r="AQ51" s="29">
        <f t="shared" si="24"/>
        <v>29664250</v>
      </c>
      <c r="AR51" s="29">
        <f t="shared" si="25"/>
        <v>1443840</v>
      </c>
      <c r="AS51" s="29">
        <f t="shared" si="26"/>
        <v>283200</v>
      </c>
      <c r="AT51" s="45"/>
      <c r="AU51" s="51"/>
      <c r="AV51" s="35"/>
      <c r="AW51" s="35"/>
      <c r="AX51" s="35"/>
      <c r="AY51" s="45"/>
      <c r="AZ51" s="7" t="s">
        <v>64</v>
      </c>
      <c r="BA51" s="64">
        <f>BB42/BB43</f>
        <v>3.7536997489790565E-2</v>
      </c>
      <c r="BB51" s="64">
        <f t="shared" ref="BB51:BE51" si="30">BC42/BC43</f>
        <v>6.2526833193040102E-2</v>
      </c>
      <c r="BC51" s="64">
        <f t="shared" si="30"/>
        <v>6.3038830503533205E-2</v>
      </c>
      <c r="BD51" s="64">
        <f t="shared" si="30"/>
        <v>5.3125859343968136E-2</v>
      </c>
      <c r="BE51" s="64">
        <f t="shared" si="30"/>
        <v>0.10028166143184071</v>
      </c>
    </row>
    <row r="52" spans="1:57" ht="16" x14ac:dyDescent="0.2">
      <c r="A52" s="37">
        <v>47</v>
      </c>
      <c r="B52" s="17">
        <v>45230</v>
      </c>
      <c r="C52" s="56">
        <v>123.8</v>
      </c>
      <c r="D52" s="56">
        <v>22.6</v>
      </c>
      <c r="E52" s="56">
        <v>1.41</v>
      </c>
      <c r="F52" s="56">
        <v>1442.14</v>
      </c>
      <c r="G52" s="41">
        <v>234500</v>
      </c>
      <c r="H52" s="28">
        <v>64000</v>
      </c>
      <c r="I52" s="42">
        <v>240000</v>
      </c>
      <c r="J52" s="35"/>
      <c r="K52" s="38">
        <v>46</v>
      </c>
      <c r="L52" s="15">
        <v>45230</v>
      </c>
      <c r="M52" s="49">
        <f t="shared" si="27"/>
        <v>-2.1343873517786584E-2</v>
      </c>
      <c r="N52" s="49">
        <f t="shared" si="5"/>
        <v>1.7730496453901908E-3</v>
      </c>
      <c r="O52" s="49">
        <f t="shared" si="6"/>
        <v>0.19491525423728814</v>
      </c>
      <c r="P52" s="49">
        <f t="shared" si="23"/>
        <v>1.2617875674954553E-2</v>
      </c>
      <c r="Q52" s="35"/>
      <c r="R52" s="35"/>
      <c r="S52" s="35"/>
      <c r="T52" s="35"/>
      <c r="U52" s="35"/>
      <c r="V52" s="35"/>
      <c r="W52" s="35"/>
      <c r="X52" s="39">
        <v>46</v>
      </c>
      <c r="Y52" s="23">
        <v>45230</v>
      </c>
      <c r="Z52" s="44">
        <f t="shared" si="7"/>
        <v>0.84217687074829928</v>
      </c>
      <c r="AA52" s="44">
        <f t="shared" si="8"/>
        <v>0.46028513238289204</v>
      </c>
      <c r="AB52" s="44">
        <f t="shared" si="9"/>
        <v>2.1860465116279055</v>
      </c>
      <c r="AC52" s="44">
        <f t="shared" si="10"/>
        <v>0.90771419220020733</v>
      </c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6">
        <v>46</v>
      </c>
      <c r="AP52" s="27">
        <v>45230</v>
      </c>
      <c r="AQ52" s="29">
        <f t="shared" si="24"/>
        <v>29031100</v>
      </c>
      <c r="AR52" s="29">
        <f t="shared" si="25"/>
        <v>1446400</v>
      </c>
      <c r="AS52" s="29">
        <f t="shared" si="26"/>
        <v>338400</v>
      </c>
      <c r="AT52" s="45"/>
      <c r="AU52" s="51"/>
      <c r="AV52" s="35"/>
      <c r="AW52" s="35"/>
      <c r="AX52" s="35"/>
      <c r="AY52" s="45"/>
      <c r="AZ52" s="7" t="s">
        <v>66</v>
      </c>
      <c r="BA52" s="64">
        <f>BB43/BB44</f>
        <v>1.0728540707840102</v>
      </c>
      <c r="BB52" s="64">
        <f t="shared" ref="BB52:BE52" si="31">BC43/BC44</f>
        <v>1.1087667874853349</v>
      </c>
      <c r="BC52" s="64">
        <f t="shared" si="31"/>
        <v>1.0209451726178453</v>
      </c>
      <c r="BD52" s="64">
        <f t="shared" si="31"/>
        <v>1.2495028199566161</v>
      </c>
      <c r="BE52" s="64">
        <f t="shared" si="31"/>
        <v>1.3123546595575875</v>
      </c>
    </row>
    <row r="53" spans="1:57" ht="16" x14ac:dyDescent="0.2">
      <c r="A53" s="37">
        <v>48</v>
      </c>
      <c r="B53" s="17">
        <v>45260</v>
      </c>
      <c r="C53" s="56">
        <v>125.4</v>
      </c>
      <c r="D53" s="56">
        <v>22.3</v>
      </c>
      <c r="E53" s="56">
        <v>1.77</v>
      </c>
      <c r="F53" s="56">
        <v>1452.74</v>
      </c>
      <c r="G53" s="41">
        <v>234500</v>
      </c>
      <c r="H53" s="28">
        <v>64000</v>
      </c>
      <c r="I53" s="42">
        <v>240000</v>
      </c>
      <c r="J53" s="35"/>
      <c r="K53" s="38">
        <v>47</v>
      </c>
      <c r="L53" s="15">
        <v>45260</v>
      </c>
      <c r="M53" s="49">
        <f t="shared" si="27"/>
        <v>1.2924071082391022E-2</v>
      </c>
      <c r="N53" s="49">
        <f t="shared" si="5"/>
        <v>-1.3274336283185872E-2</v>
      </c>
      <c r="O53" s="49">
        <f t="shared" si="6"/>
        <v>0.2553191489361703</v>
      </c>
      <c r="P53" s="49">
        <f t="shared" si="23"/>
        <v>7.3501879151815419E-3</v>
      </c>
      <c r="Q53" s="35"/>
      <c r="R53" s="35"/>
      <c r="S53" s="35"/>
      <c r="T53" s="35"/>
      <c r="U53" s="35"/>
      <c r="V53" s="35"/>
      <c r="W53" s="35"/>
      <c r="X53" s="39">
        <v>47</v>
      </c>
      <c r="Y53" s="23">
        <v>45260</v>
      </c>
      <c r="Z53" s="44">
        <f t="shared" si="7"/>
        <v>0.85306122448979593</v>
      </c>
      <c r="AA53" s="44">
        <f t="shared" si="8"/>
        <v>0.45417515274949083</v>
      </c>
      <c r="AB53" s="44">
        <f t="shared" si="9"/>
        <v>2.7441860465116266</v>
      </c>
      <c r="AC53" s="44">
        <f t="shared" si="10"/>
        <v>0.91438606208615614</v>
      </c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6">
        <v>47</v>
      </c>
      <c r="AP53" s="27">
        <v>45260</v>
      </c>
      <c r="AQ53" s="29">
        <f t="shared" si="24"/>
        <v>29406300</v>
      </c>
      <c r="AR53" s="29">
        <f t="shared" si="25"/>
        <v>1427200</v>
      </c>
      <c r="AS53" s="29">
        <f t="shared" si="26"/>
        <v>424800</v>
      </c>
      <c r="AT53" s="45"/>
      <c r="AU53" s="51"/>
      <c r="AV53" s="35"/>
      <c r="AW53" s="35"/>
      <c r="AX53" s="35"/>
      <c r="AY53" s="45"/>
      <c r="AZ53" s="7" t="s">
        <v>67</v>
      </c>
      <c r="BA53" s="64">
        <f>BB44/BB45</f>
        <v>1.2762393811302171</v>
      </c>
      <c r="BB53" s="64">
        <f t="shared" ref="BB53:BE53" si="32">BC44/BC45</f>
        <v>1.2754379087467014</v>
      </c>
      <c r="BC53" s="64">
        <f t="shared" si="32"/>
        <v>1.2780228240195635</v>
      </c>
      <c r="BD53" s="64">
        <f t="shared" si="32"/>
        <v>1.2462369591169398</v>
      </c>
      <c r="BE53" s="64">
        <f t="shared" si="32"/>
        <v>1.2504618402146892</v>
      </c>
    </row>
    <row r="54" spans="1:57" ht="16" x14ac:dyDescent="0.2">
      <c r="A54" s="37">
        <v>49</v>
      </c>
      <c r="B54" s="17">
        <v>45289</v>
      </c>
      <c r="C54" s="56">
        <v>117.6</v>
      </c>
      <c r="D54" s="56">
        <v>23.16</v>
      </c>
      <c r="E54" s="56">
        <v>1.62</v>
      </c>
      <c r="F54" s="56">
        <v>1454.66</v>
      </c>
      <c r="G54" s="41">
        <v>234500</v>
      </c>
      <c r="H54" s="28">
        <v>64000</v>
      </c>
      <c r="I54" s="42">
        <v>240000</v>
      </c>
      <c r="J54" s="35"/>
      <c r="K54" s="38">
        <v>48</v>
      </c>
      <c r="L54" s="15">
        <v>45289</v>
      </c>
      <c r="M54" s="49">
        <f t="shared" si="27"/>
        <v>-6.2200956937799132E-2</v>
      </c>
      <c r="N54" s="49">
        <f t="shared" si="5"/>
        <v>3.8565022421524639E-2</v>
      </c>
      <c r="O54" s="49">
        <f t="shared" si="6"/>
        <v>-8.4745762711864361E-2</v>
      </c>
      <c r="P54" s="49">
        <f t="shared" si="23"/>
        <v>1.3216404862536123E-3</v>
      </c>
      <c r="Q54" s="35"/>
      <c r="R54" s="35"/>
      <c r="S54" s="35"/>
      <c r="T54" s="35"/>
      <c r="U54" s="35"/>
      <c r="V54" s="35"/>
      <c r="W54" s="35"/>
      <c r="X54" s="39">
        <v>48</v>
      </c>
      <c r="Y54" s="23">
        <v>45289</v>
      </c>
      <c r="Z54" s="44">
        <f t="shared" si="7"/>
        <v>0.79999999999999993</v>
      </c>
      <c r="AA54" s="44">
        <f t="shared" si="8"/>
        <v>0.47169042769857428</v>
      </c>
      <c r="AB54" s="44">
        <f t="shared" si="9"/>
        <v>2.5116279069767429</v>
      </c>
      <c r="AC54" s="44">
        <f t="shared" si="10"/>
        <v>0.91559455172587534</v>
      </c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6">
        <v>48</v>
      </c>
      <c r="AP54" s="27">
        <v>45289</v>
      </c>
      <c r="AQ54" s="29">
        <f t="shared" si="24"/>
        <v>27577200</v>
      </c>
      <c r="AR54" s="29">
        <f t="shared" si="25"/>
        <v>1482240</v>
      </c>
      <c r="AS54" s="29">
        <f t="shared" si="26"/>
        <v>388800</v>
      </c>
      <c r="AT54" s="45"/>
      <c r="AU54" s="51"/>
      <c r="AV54" s="35"/>
      <c r="AW54" s="35"/>
      <c r="AX54" s="35"/>
      <c r="AY54" s="45"/>
      <c r="AZ54" s="8" t="s">
        <v>68</v>
      </c>
      <c r="BA54" s="64">
        <f>BA51*BA52*BA53</f>
        <v>5.1396355727007827E-2</v>
      </c>
      <c r="BB54" s="64">
        <f>BB51*BB52*BB53</f>
        <v>8.8423146058821261E-2</v>
      </c>
      <c r="BC54" s="64">
        <f>BC51*BC52*BC53</f>
        <v>8.2252513359297161E-2</v>
      </c>
      <c r="BD54" s="64">
        <f>BD51*BD52*BD53</f>
        <v>8.2726344746448896E-2</v>
      </c>
      <c r="BE54" s="64">
        <f>BE51*BE52*BE53</f>
        <v>0.16456716259056248</v>
      </c>
    </row>
    <row r="55" spans="1:57" ht="16" x14ac:dyDescent="0.2">
      <c r="A55" s="37">
        <v>50</v>
      </c>
      <c r="B55" s="17">
        <v>45322</v>
      </c>
      <c r="C55" s="56">
        <v>119.5</v>
      </c>
      <c r="D55" s="56">
        <v>23.8</v>
      </c>
      <c r="E55" s="56">
        <v>1.79</v>
      </c>
      <c r="F55" s="56">
        <v>1512.98</v>
      </c>
      <c r="G55" s="41">
        <v>234500</v>
      </c>
      <c r="H55" s="28">
        <v>64000</v>
      </c>
      <c r="I55" s="42">
        <v>240000</v>
      </c>
      <c r="J55" s="35"/>
      <c r="K55" s="38">
        <v>49</v>
      </c>
      <c r="L55" s="15">
        <v>45322</v>
      </c>
      <c r="M55" s="49">
        <f t="shared" si="27"/>
        <v>1.6156462585034063E-2</v>
      </c>
      <c r="N55" s="49">
        <f t="shared" si="5"/>
        <v>2.7633851468048382E-2</v>
      </c>
      <c r="O55" s="49">
        <f t="shared" si="6"/>
        <v>0.10493827160493822</v>
      </c>
      <c r="P55" s="49">
        <f t="shared" si="23"/>
        <v>4.0091842767382022E-2</v>
      </c>
      <c r="Q55" s="35"/>
      <c r="R55" s="35"/>
      <c r="S55" s="35"/>
      <c r="T55" s="35"/>
      <c r="U55" s="35"/>
      <c r="V55" s="35"/>
      <c r="W55" s="35"/>
      <c r="X55" s="39">
        <v>49</v>
      </c>
      <c r="Y55" s="23">
        <v>45322</v>
      </c>
      <c r="Z55" s="44">
        <f t="shared" si="7"/>
        <v>0.81292517006802723</v>
      </c>
      <c r="AA55" s="44">
        <f t="shared" si="8"/>
        <v>0.48472505091649687</v>
      </c>
      <c r="AB55" s="44">
        <f t="shared" si="9"/>
        <v>2.7751937984496111</v>
      </c>
      <c r="AC55" s="44">
        <f t="shared" si="10"/>
        <v>0.95230242453234071</v>
      </c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6">
        <v>49</v>
      </c>
      <c r="AP55" s="27">
        <v>45322</v>
      </c>
      <c r="AQ55" s="29">
        <f t="shared" si="24"/>
        <v>28022750</v>
      </c>
      <c r="AR55" s="29">
        <f t="shared" si="25"/>
        <v>1523200</v>
      </c>
      <c r="AS55" s="29">
        <f t="shared" si="26"/>
        <v>429600</v>
      </c>
      <c r="AT55" s="45"/>
      <c r="AU55" s="51"/>
      <c r="AV55" s="35"/>
      <c r="AW55" s="35"/>
      <c r="AX55" s="35"/>
      <c r="AY55" s="45"/>
    </row>
    <row r="56" spans="1:57" ht="16" x14ac:dyDescent="0.2">
      <c r="A56" s="37">
        <v>51</v>
      </c>
      <c r="B56" s="17">
        <v>45351</v>
      </c>
      <c r="C56" s="56">
        <v>124.9</v>
      </c>
      <c r="D56" s="56">
        <v>23.94</v>
      </c>
      <c r="E56" s="56">
        <v>1.82</v>
      </c>
      <c r="F56" s="56">
        <v>1551.44</v>
      </c>
      <c r="G56" s="41">
        <v>234500</v>
      </c>
      <c r="H56" s="28">
        <v>64000</v>
      </c>
      <c r="I56" s="42">
        <v>240000</v>
      </c>
      <c r="J56" s="35"/>
      <c r="K56" s="38">
        <v>50</v>
      </c>
      <c r="L56" s="15">
        <v>45351</v>
      </c>
      <c r="M56" s="49">
        <f t="shared" si="27"/>
        <v>4.5188284518828496E-2</v>
      </c>
      <c r="N56" s="49">
        <f t="shared" si="5"/>
        <v>5.8823529411764939E-3</v>
      </c>
      <c r="O56" s="49">
        <f t="shared" si="6"/>
        <v>1.6759776536312863E-2</v>
      </c>
      <c r="P56" s="49">
        <f t="shared" si="23"/>
        <v>2.5420031989847873E-2</v>
      </c>
      <c r="Q56" s="35"/>
      <c r="R56" s="35"/>
      <c r="S56" s="35"/>
      <c r="T56" s="35"/>
      <c r="U56" s="35"/>
      <c r="V56" s="35"/>
      <c r="W56" s="35"/>
      <c r="X56" s="39">
        <v>50</v>
      </c>
      <c r="Y56" s="23">
        <v>45351</v>
      </c>
      <c r="Z56" s="44">
        <f t="shared" si="7"/>
        <v>0.84965986394557824</v>
      </c>
      <c r="AA56" s="44">
        <f t="shared" si="8"/>
        <v>0.48757637474541743</v>
      </c>
      <c r="AB56" s="44">
        <f t="shared" si="9"/>
        <v>2.8217054263565875</v>
      </c>
      <c r="AC56" s="44">
        <f t="shared" si="10"/>
        <v>0.97650998262796251</v>
      </c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6">
        <v>50</v>
      </c>
      <c r="AP56" s="27">
        <v>45351</v>
      </c>
      <c r="AQ56" s="29">
        <f t="shared" si="24"/>
        <v>29289050</v>
      </c>
      <c r="AR56" s="29">
        <f t="shared" si="25"/>
        <v>1532160</v>
      </c>
      <c r="AS56" s="29">
        <f t="shared" si="26"/>
        <v>436800</v>
      </c>
      <c r="AT56" s="45"/>
      <c r="AU56" s="51"/>
      <c r="AV56" s="35"/>
      <c r="AW56" s="35"/>
      <c r="AX56" s="35"/>
      <c r="AY56" s="45"/>
    </row>
    <row r="57" spans="1:57" ht="16" x14ac:dyDescent="0.2">
      <c r="A57" s="37">
        <v>52</v>
      </c>
      <c r="B57" s="17">
        <v>45380</v>
      </c>
      <c r="C57" s="56">
        <v>118.2</v>
      </c>
      <c r="D57" s="56">
        <v>30.64</v>
      </c>
      <c r="E57" s="56">
        <v>1.99</v>
      </c>
      <c r="F57" s="56">
        <v>1536.07</v>
      </c>
      <c r="G57" s="41">
        <v>234500</v>
      </c>
      <c r="H57" s="28">
        <v>64000</v>
      </c>
      <c r="I57" s="42">
        <v>240000</v>
      </c>
      <c r="J57" s="35"/>
      <c r="K57" s="38">
        <v>51</v>
      </c>
      <c r="L57" s="15">
        <v>45380</v>
      </c>
      <c r="M57" s="49">
        <f t="shared" si="27"/>
        <v>-5.3642914331465195E-2</v>
      </c>
      <c r="N57" s="49">
        <f t="shared" si="5"/>
        <v>0.27986633249791137</v>
      </c>
      <c r="O57" s="49">
        <f t="shared" si="6"/>
        <v>9.3406593406593366E-2</v>
      </c>
      <c r="P57" s="49">
        <f t="shared" si="23"/>
        <v>-9.9069251791884423E-3</v>
      </c>
      <c r="Q57" s="35"/>
      <c r="R57" s="35"/>
      <c r="S57" s="35"/>
      <c r="T57" s="35"/>
      <c r="U57" s="35"/>
      <c r="V57" s="35"/>
      <c r="W57" s="35"/>
      <c r="X57" s="39">
        <v>51</v>
      </c>
      <c r="Y57" s="23">
        <v>45380</v>
      </c>
      <c r="Z57" s="44">
        <f t="shared" si="7"/>
        <v>0.80408163265306121</v>
      </c>
      <c r="AA57" s="44">
        <f t="shared" si="8"/>
        <v>0.62403258655804461</v>
      </c>
      <c r="AB57" s="44">
        <f t="shared" si="9"/>
        <v>3.0852713178294553</v>
      </c>
      <c r="AC57" s="44">
        <f t="shared" si="10"/>
        <v>0.96683577129333664</v>
      </c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6">
        <v>51</v>
      </c>
      <c r="AP57" s="27">
        <v>45380</v>
      </c>
      <c r="AQ57" s="29">
        <f t="shared" si="24"/>
        <v>27717900</v>
      </c>
      <c r="AR57" s="29">
        <f t="shared" si="25"/>
        <v>1960960</v>
      </c>
      <c r="AS57" s="29">
        <f t="shared" si="26"/>
        <v>477600</v>
      </c>
      <c r="AT57" s="45"/>
      <c r="AU57" s="51"/>
      <c r="AV57" s="35"/>
      <c r="AW57" s="35"/>
      <c r="AX57" s="35"/>
      <c r="AY57" s="45"/>
    </row>
    <row r="58" spans="1:57" ht="16" x14ac:dyDescent="0.2">
      <c r="A58" s="37">
        <v>53</v>
      </c>
      <c r="B58" s="17">
        <v>45412</v>
      </c>
      <c r="C58" s="56">
        <v>127.2</v>
      </c>
      <c r="D58" s="56">
        <v>32.86</v>
      </c>
      <c r="E58" s="56">
        <v>2</v>
      </c>
      <c r="F58" s="56">
        <v>1575.97</v>
      </c>
      <c r="G58" s="41">
        <v>234500</v>
      </c>
      <c r="H58" s="28">
        <v>64000</v>
      </c>
      <c r="I58" s="42">
        <v>240000</v>
      </c>
      <c r="J58" s="35"/>
      <c r="K58" s="38">
        <v>52</v>
      </c>
      <c r="L58" s="15">
        <v>45412</v>
      </c>
      <c r="M58" s="49">
        <f t="shared" si="27"/>
        <v>7.6142131979695424E-2</v>
      </c>
      <c r="N58" s="49">
        <f t="shared" si="5"/>
        <v>7.2454308093994738E-2</v>
      </c>
      <c r="O58" s="49">
        <f t="shared" si="6"/>
        <v>5.0251256281407079E-3</v>
      </c>
      <c r="P58" s="49">
        <f t="shared" si="23"/>
        <v>2.5975378726229986E-2</v>
      </c>
      <c r="Q58" s="35"/>
      <c r="R58" s="35"/>
      <c r="S58" s="35"/>
      <c r="T58" s="35"/>
      <c r="U58" s="35"/>
      <c r="V58" s="35"/>
      <c r="W58" s="35"/>
      <c r="X58" s="39">
        <v>52</v>
      </c>
      <c r="Y58" s="23">
        <v>45412</v>
      </c>
      <c r="Z58" s="44">
        <f t="shared" si="7"/>
        <v>0.86530612244897953</v>
      </c>
      <c r="AA58" s="44">
        <f t="shared" si="8"/>
        <v>0.66924643584521359</v>
      </c>
      <c r="AB58" s="44">
        <f t="shared" si="9"/>
        <v>3.1007751937984471</v>
      </c>
      <c r="AC58" s="44">
        <f t="shared" si="10"/>
        <v>0.99194969661874777</v>
      </c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6">
        <v>52</v>
      </c>
      <c r="AP58" s="27">
        <v>45412</v>
      </c>
      <c r="AQ58" s="29">
        <f t="shared" si="24"/>
        <v>29828400</v>
      </c>
      <c r="AR58" s="29">
        <f t="shared" si="25"/>
        <v>2103040</v>
      </c>
      <c r="AS58" s="29">
        <f t="shared" si="26"/>
        <v>480000</v>
      </c>
      <c r="AT58" s="45"/>
      <c r="AU58" s="51"/>
      <c r="AV58" s="35"/>
      <c r="AW58" s="35"/>
      <c r="AX58" s="35"/>
      <c r="AY58" s="45"/>
    </row>
    <row r="59" spans="1:57" ht="16" x14ac:dyDescent="0.2">
      <c r="A59" s="37">
        <v>54</v>
      </c>
      <c r="B59" s="17">
        <v>45443</v>
      </c>
      <c r="C59" s="56">
        <v>127.6</v>
      </c>
      <c r="D59" s="56">
        <v>36</v>
      </c>
      <c r="E59" s="56">
        <v>2.0299999999999998</v>
      </c>
      <c r="F59" s="56">
        <v>1596.68</v>
      </c>
      <c r="G59" s="41">
        <v>234500</v>
      </c>
      <c r="H59" s="28">
        <v>64000</v>
      </c>
      <c r="I59" s="42">
        <v>240000</v>
      </c>
      <c r="J59" s="35"/>
      <c r="K59" s="38">
        <v>53</v>
      </c>
      <c r="L59" s="15">
        <v>45443</v>
      </c>
      <c r="M59" s="49">
        <f t="shared" si="27"/>
        <v>3.1446540880502474E-3</v>
      </c>
      <c r="N59" s="49">
        <f t="shared" si="5"/>
        <v>9.5556908094948281E-2</v>
      </c>
      <c r="O59" s="49">
        <f t="shared" si="6"/>
        <v>1.4999999999999902E-2</v>
      </c>
      <c r="P59" s="49">
        <f t="shared" si="23"/>
        <v>1.3141113092254316E-2</v>
      </c>
      <c r="Q59" s="35"/>
      <c r="R59" s="35"/>
      <c r="S59" s="35"/>
      <c r="T59" s="35"/>
      <c r="U59" s="35"/>
      <c r="V59" s="35"/>
      <c r="W59" s="35"/>
      <c r="X59" s="39">
        <v>53</v>
      </c>
      <c r="Y59" s="23">
        <v>45443</v>
      </c>
      <c r="Z59" s="44">
        <f t="shared" si="7"/>
        <v>0.86802721088435364</v>
      </c>
      <c r="AA59" s="44">
        <f t="shared" si="8"/>
        <v>0.7331975560081464</v>
      </c>
      <c r="AB59" s="44">
        <f t="shared" si="9"/>
        <v>3.1472868217054235</v>
      </c>
      <c r="AC59" s="44">
        <f t="shared" si="10"/>
        <v>1.0049850197638421</v>
      </c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6">
        <v>53</v>
      </c>
      <c r="AP59" s="27">
        <v>45443</v>
      </c>
      <c r="AQ59" s="29">
        <f t="shared" si="24"/>
        <v>29922200</v>
      </c>
      <c r="AR59" s="29">
        <f t="shared" si="25"/>
        <v>2304000</v>
      </c>
      <c r="AS59" s="29">
        <f t="shared" si="26"/>
        <v>487199.99999999994</v>
      </c>
      <c r="AT59" s="45"/>
      <c r="AU59" s="51"/>
      <c r="AV59" s="35"/>
      <c r="AW59" s="35"/>
      <c r="AX59" s="35"/>
      <c r="AY59" s="45"/>
    </row>
    <row r="60" spans="1:57" ht="16" x14ac:dyDescent="0.2">
      <c r="A60" s="37">
        <v>55</v>
      </c>
      <c r="B60" s="17">
        <v>45471</v>
      </c>
      <c r="C60" s="56">
        <v>121.5</v>
      </c>
      <c r="D60" s="56">
        <v>36.18</v>
      </c>
      <c r="E60" s="56">
        <v>2.02</v>
      </c>
      <c r="F60" s="56">
        <v>1590.09</v>
      </c>
      <c r="G60" s="41">
        <v>234500</v>
      </c>
      <c r="H60" s="28">
        <v>64000</v>
      </c>
      <c r="I60" s="42">
        <v>240000</v>
      </c>
      <c r="J60" s="35"/>
      <c r="K60" s="38">
        <v>54</v>
      </c>
      <c r="L60" s="15">
        <v>45471</v>
      </c>
      <c r="M60" s="49">
        <f t="shared" si="27"/>
        <v>-4.7805642633228798E-2</v>
      </c>
      <c r="N60" s="49">
        <f t="shared" si="5"/>
        <v>4.9999999999999923E-3</v>
      </c>
      <c r="O60" s="49">
        <f t="shared" si="6"/>
        <v>-4.9261083743841316E-3</v>
      </c>
      <c r="P60" s="49">
        <f t="shared" si="23"/>
        <v>-4.1273141769171936E-3</v>
      </c>
      <c r="Q60" s="35"/>
      <c r="R60" s="35"/>
      <c r="S60" s="35"/>
      <c r="T60" s="35"/>
      <c r="U60" s="35"/>
      <c r="V60" s="35"/>
      <c r="W60" s="35"/>
      <c r="X60" s="39">
        <v>54</v>
      </c>
      <c r="Y60" s="23">
        <v>45471</v>
      </c>
      <c r="Z60" s="44">
        <f t="shared" si="7"/>
        <v>0.82653061224489788</v>
      </c>
      <c r="AA60" s="44">
        <f t="shared" si="8"/>
        <v>0.73686354378818708</v>
      </c>
      <c r="AB60" s="44">
        <f t="shared" si="9"/>
        <v>3.1317829457364317</v>
      </c>
      <c r="AC60" s="44">
        <f t="shared" si="10"/>
        <v>1.0008371308441815</v>
      </c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6">
        <v>54</v>
      </c>
      <c r="AP60" s="27">
        <v>45471</v>
      </c>
      <c r="AQ60" s="29">
        <f t="shared" si="24"/>
        <v>28491750</v>
      </c>
      <c r="AR60" s="29">
        <f t="shared" si="25"/>
        <v>2315520</v>
      </c>
      <c r="AS60" s="29">
        <f t="shared" si="26"/>
        <v>484800</v>
      </c>
      <c r="AT60" s="45"/>
      <c r="AU60" s="51"/>
      <c r="AV60" s="35"/>
      <c r="AW60" s="35"/>
      <c r="AX60" s="35"/>
      <c r="AY60" s="45"/>
    </row>
    <row r="61" spans="1:57" ht="16" x14ac:dyDescent="0.2">
      <c r="A61" s="37">
        <v>56</v>
      </c>
      <c r="B61" s="17">
        <v>45504</v>
      </c>
      <c r="C61" s="56">
        <v>108.6</v>
      </c>
      <c r="D61" s="56">
        <v>31.5</v>
      </c>
      <c r="E61" s="56">
        <v>1.96</v>
      </c>
      <c r="F61" s="56">
        <v>1625.57</v>
      </c>
      <c r="G61" s="41">
        <v>234500</v>
      </c>
      <c r="H61" s="28">
        <v>64000</v>
      </c>
      <c r="I61" s="42">
        <v>240000</v>
      </c>
      <c r="J61" s="35"/>
      <c r="K61" s="38">
        <v>55</v>
      </c>
      <c r="L61" s="15">
        <v>45504</v>
      </c>
      <c r="M61" s="49">
        <f t="shared" si="27"/>
        <v>-0.10617283950617289</v>
      </c>
      <c r="N61" s="49">
        <f t="shared" si="5"/>
        <v>-0.12935323383084577</v>
      </c>
      <c r="O61" s="49">
        <f t="shared" si="6"/>
        <v>-2.9702970297029729E-2</v>
      </c>
      <c r="P61" s="49">
        <f t="shared" si="23"/>
        <v>2.2313202397348589E-2</v>
      </c>
      <c r="Q61" s="35"/>
      <c r="R61" s="35"/>
      <c r="S61" s="35"/>
      <c r="T61" s="35"/>
      <c r="U61" s="35"/>
      <c r="V61" s="35"/>
      <c r="W61" s="35"/>
      <c r="X61" s="39">
        <v>55</v>
      </c>
      <c r="Y61" s="23">
        <v>45504</v>
      </c>
      <c r="Z61" s="44">
        <f t="shared" si="7"/>
        <v>0.73877551020408161</v>
      </c>
      <c r="AA61" s="44">
        <f t="shared" si="8"/>
        <v>0.64154786150712806</v>
      </c>
      <c r="AB61" s="44">
        <f t="shared" si="9"/>
        <v>3.038759689922478</v>
      </c>
      <c r="AC61" s="44">
        <f t="shared" si="10"/>
        <v>1.0231690123114894</v>
      </c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6">
        <v>55</v>
      </c>
      <c r="AP61" s="27">
        <v>45504</v>
      </c>
      <c r="AQ61" s="29">
        <f t="shared" si="24"/>
        <v>25466700</v>
      </c>
      <c r="AR61" s="29">
        <f t="shared" si="25"/>
        <v>2016000</v>
      </c>
      <c r="AS61" s="29">
        <f t="shared" si="26"/>
        <v>470400</v>
      </c>
      <c r="AT61" s="45"/>
      <c r="AU61" s="51"/>
      <c r="AV61" s="35"/>
      <c r="AW61" s="35"/>
      <c r="AX61" s="35"/>
      <c r="AY61" s="45"/>
    </row>
    <row r="62" spans="1:57" ht="16" x14ac:dyDescent="0.2">
      <c r="A62" s="37">
        <v>57</v>
      </c>
      <c r="B62" s="17">
        <v>45534</v>
      </c>
      <c r="C62" s="56">
        <v>106</v>
      </c>
      <c r="D62" s="56">
        <v>30.12</v>
      </c>
      <c r="E62" s="56">
        <v>1.75</v>
      </c>
      <c r="F62" s="56">
        <v>1678.8</v>
      </c>
      <c r="G62" s="41">
        <v>234500</v>
      </c>
      <c r="H62" s="28">
        <v>64000</v>
      </c>
      <c r="I62" s="42">
        <v>240000</v>
      </c>
      <c r="J62" s="35"/>
      <c r="K62" s="38">
        <v>56</v>
      </c>
      <c r="L62" s="15">
        <v>45534</v>
      </c>
      <c r="M62" s="49">
        <f t="shared" si="27"/>
        <v>-2.3941068139963117E-2</v>
      </c>
      <c r="N62" s="49">
        <f t="shared" si="5"/>
        <v>-4.3809523809523777E-2</v>
      </c>
      <c r="O62" s="49">
        <f t="shared" si="6"/>
        <v>-0.10714285714285712</v>
      </c>
      <c r="P62" s="49">
        <f t="shared" si="23"/>
        <v>3.2745436985180593E-2</v>
      </c>
      <c r="Q62" s="35"/>
      <c r="R62" s="35"/>
      <c r="S62" s="35"/>
      <c r="T62" s="35"/>
      <c r="U62" s="35"/>
      <c r="V62" s="35"/>
      <c r="W62" s="35"/>
      <c r="X62" s="39">
        <v>56</v>
      </c>
      <c r="Y62" s="23">
        <v>45534</v>
      </c>
      <c r="Z62" s="44">
        <f t="shared" si="7"/>
        <v>0.72108843537414968</v>
      </c>
      <c r="AA62" s="44">
        <f t="shared" si="8"/>
        <v>0.61344195519348255</v>
      </c>
      <c r="AB62" s="44">
        <f t="shared" si="9"/>
        <v>2.7131782945736411</v>
      </c>
      <c r="AC62" s="44">
        <f t="shared" si="10"/>
        <v>1.0566731287293247</v>
      </c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6">
        <v>56</v>
      </c>
      <c r="AP62" s="27">
        <v>45534</v>
      </c>
      <c r="AQ62" s="29">
        <f t="shared" si="24"/>
        <v>24857000</v>
      </c>
      <c r="AR62" s="29">
        <f t="shared" si="25"/>
        <v>1927680</v>
      </c>
      <c r="AS62" s="29">
        <f t="shared" si="26"/>
        <v>420000</v>
      </c>
      <c r="AT62" s="45"/>
      <c r="AU62" s="51"/>
      <c r="AV62" s="35"/>
      <c r="AW62" s="35"/>
      <c r="AX62" s="35"/>
      <c r="AY62" s="45"/>
    </row>
    <row r="63" spans="1:57" ht="16" x14ac:dyDescent="0.2">
      <c r="A63" s="37">
        <v>58</v>
      </c>
      <c r="B63" s="17">
        <v>45565</v>
      </c>
      <c r="C63" s="56">
        <v>104</v>
      </c>
      <c r="D63" s="56">
        <v>31.96</v>
      </c>
      <c r="E63" s="56">
        <v>1.84</v>
      </c>
      <c r="F63" s="56">
        <v>1648.91</v>
      </c>
      <c r="G63" s="41">
        <v>234500</v>
      </c>
      <c r="H63" s="28">
        <v>64000</v>
      </c>
      <c r="I63" s="42">
        <v>240000</v>
      </c>
      <c r="J63" s="35"/>
      <c r="K63" s="38">
        <v>57</v>
      </c>
      <c r="L63" s="15">
        <v>45565</v>
      </c>
      <c r="M63" s="49">
        <f t="shared" si="27"/>
        <v>-1.8867924528301886E-2</v>
      </c>
      <c r="N63" s="49">
        <f t="shared" si="5"/>
        <v>6.1088977423638773E-2</v>
      </c>
      <c r="O63" s="49">
        <f t="shared" si="6"/>
        <v>5.1428571428571476E-2</v>
      </c>
      <c r="P63" s="49">
        <f t="shared" si="23"/>
        <v>-1.7804384083869355E-2</v>
      </c>
      <c r="Q63" s="35"/>
      <c r="R63" s="35"/>
      <c r="S63" s="35"/>
      <c r="T63" s="35"/>
      <c r="U63" s="35"/>
      <c r="V63" s="35"/>
      <c r="W63" s="35"/>
      <c r="X63" s="39">
        <v>57</v>
      </c>
      <c r="Y63" s="23">
        <v>45565</v>
      </c>
      <c r="Z63" s="44">
        <f t="shared" si="7"/>
        <v>0.70748299319727892</v>
      </c>
      <c r="AA63" s="44">
        <f t="shared" si="8"/>
        <v>0.65091649694500997</v>
      </c>
      <c r="AB63" s="44">
        <f t="shared" si="9"/>
        <v>2.8527131782945712</v>
      </c>
      <c r="AC63" s="44">
        <f t="shared" si="10"/>
        <v>1.037859714494324</v>
      </c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6">
        <v>57</v>
      </c>
      <c r="AP63" s="27">
        <v>45565</v>
      </c>
      <c r="AQ63" s="29">
        <f t="shared" si="24"/>
        <v>24388000</v>
      </c>
      <c r="AR63" s="29">
        <f t="shared" si="25"/>
        <v>2045440</v>
      </c>
      <c r="AS63" s="29">
        <f t="shared" si="26"/>
        <v>441600</v>
      </c>
      <c r="AT63" s="45"/>
      <c r="AU63" s="51"/>
      <c r="AV63" s="35"/>
      <c r="AW63" s="35"/>
      <c r="AX63" s="35"/>
      <c r="AY63" s="45"/>
    </row>
    <row r="64" spans="1:57" ht="16" x14ac:dyDescent="0.2">
      <c r="A64" s="37">
        <v>59</v>
      </c>
      <c r="B64" s="17">
        <v>45596</v>
      </c>
      <c r="C64" s="56">
        <v>99.98</v>
      </c>
      <c r="D64" s="56">
        <v>30.14</v>
      </c>
      <c r="E64" s="56">
        <v>1.76</v>
      </c>
      <c r="F64" s="56">
        <v>1601.88</v>
      </c>
      <c r="G64" s="41">
        <v>234500</v>
      </c>
      <c r="H64" s="28">
        <v>64000</v>
      </c>
      <c r="I64" s="42">
        <v>240000</v>
      </c>
      <c r="J64" s="35"/>
      <c r="K64" s="38">
        <v>58</v>
      </c>
      <c r="L64" s="15">
        <v>45596</v>
      </c>
      <c r="M64" s="49">
        <f t="shared" si="27"/>
        <v>-3.8653846153846115E-2</v>
      </c>
      <c r="N64" s="49">
        <f t="shared" si="5"/>
        <v>-5.6946182728410517E-2</v>
      </c>
      <c r="O64" s="49">
        <f t="shared" si="6"/>
        <v>-4.3478260869565251E-2</v>
      </c>
      <c r="P64" s="49">
        <f t="shared" si="23"/>
        <v>-2.8521872024549533E-2</v>
      </c>
      <c r="Q64" s="35"/>
      <c r="R64" s="35"/>
      <c r="S64" s="35"/>
      <c r="T64" s="35"/>
      <c r="U64" s="35"/>
      <c r="V64" s="35"/>
      <c r="W64" s="35"/>
      <c r="X64" s="39">
        <v>58</v>
      </c>
      <c r="Y64" s="23">
        <v>45596</v>
      </c>
      <c r="Z64" s="44">
        <f t="shared" si="7"/>
        <v>0.68013605442176872</v>
      </c>
      <c r="AA64" s="44">
        <f t="shared" si="8"/>
        <v>0.61384928716904252</v>
      </c>
      <c r="AB64" s="44">
        <f t="shared" si="9"/>
        <v>2.728682170542633</v>
      </c>
      <c r="AC64" s="44">
        <f t="shared" si="10"/>
        <v>1.0082580125380813</v>
      </c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6">
        <v>58</v>
      </c>
      <c r="AP64" s="27">
        <v>45596</v>
      </c>
      <c r="AQ64" s="29">
        <f t="shared" si="24"/>
        <v>23445310</v>
      </c>
      <c r="AR64" s="29">
        <f t="shared" si="25"/>
        <v>1928960</v>
      </c>
      <c r="AS64" s="29">
        <f t="shared" si="26"/>
        <v>422400</v>
      </c>
      <c r="AT64" s="45"/>
      <c r="AU64" s="51"/>
      <c r="AV64" s="35"/>
      <c r="AW64" s="35"/>
      <c r="AX64" s="35"/>
      <c r="AY64" s="45"/>
    </row>
    <row r="65" spans="1:51" ht="16" x14ac:dyDescent="0.2">
      <c r="A65" s="37">
        <v>60</v>
      </c>
      <c r="B65" s="17">
        <v>45625</v>
      </c>
      <c r="C65" s="56">
        <v>96.7</v>
      </c>
      <c r="D65" s="56">
        <v>31</v>
      </c>
      <c r="E65" s="56">
        <v>1.66</v>
      </c>
      <c r="F65" s="56">
        <v>1594.29</v>
      </c>
      <c r="G65" s="41">
        <v>234500</v>
      </c>
      <c r="H65" s="28">
        <v>64000</v>
      </c>
      <c r="I65" s="42">
        <v>240000</v>
      </c>
      <c r="J65" s="35"/>
      <c r="K65" s="38">
        <v>59</v>
      </c>
      <c r="L65" s="15">
        <v>45625</v>
      </c>
      <c r="M65" s="49">
        <f t="shared" si="27"/>
        <v>-3.2806561312262464E-2</v>
      </c>
      <c r="N65" s="49">
        <f t="shared" si="5"/>
        <v>2.8533510285335083E-2</v>
      </c>
      <c r="O65" s="49">
        <f t="shared" si="6"/>
        <v>-5.6818181818181872E-2</v>
      </c>
      <c r="P65" s="49">
        <f t="shared" si="23"/>
        <v>-4.7381826354034916E-3</v>
      </c>
      <c r="Q65" s="35"/>
      <c r="R65" s="35"/>
      <c r="S65" s="35"/>
      <c r="T65" s="35"/>
      <c r="U65" s="35"/>
      <c r="V65" s="35"/>
      <c r="W65" s="35"/>
      <c r="X65" s="39">
        <v>59</v>
      </c>
      <c r="Y65" s="23">
        <v>45625</v>
      </c>
      <c r="Z65" s="44">
        <f t="shared" si="7"/>
        <v>0.65782312925170072</v>
      </c>
      <c r="AA65" s="44">
        <f t="shared" si="8"/>
        <v>0.63136456211812597</v>
      </c>
      <c r="AB65" s="44">
        <f t="shared" si="9"/>
        <v>2.5736434108527106</v>
      </c>
      <c r="AC65" s="44">
        <f t="shared" si="10"/>
        <v>1.003480701931067</v>
      </c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6">
        <v>59</v>
      </c>
      <c r="AP65" s="27">
        <v>45625</v>
      </c>
      <c r="AQ65" s="29">
        <f t="shared" si="24"/>
        <v>22676150</v>
      </c>
      <c r="AR65" s="29">
        <f t="shared" si="25"/>
        <v>1984000</v>
      </c>
      <c r="AS65" s="29">
        <f t="shared" si="26"/>
        <v>398400</v>
      </c>
      <c r="AT65" s="45"/>
      <c r="AU65" s="51"/>
      <c r="AV65" s="35"/>
      <c r="AW65" s="35"/>
      <c r="AX65" s="35"/>
      <c r="AY65" s="45"/>
    </row>
    <row r="66" spans="1:51" ht="16" x14ac:dyDescent="0.2">
      <c r="A66" s="37">
        <v>61</v>
      </c>
      <c r="B66" s="17">
        <v>45657</v>
      </c>
      <c r="C66" s="56">
        <v>99.98</v>
      </c>
      <c r="D66" s="56">
        <v>30.18</v>
      </c>
      <c r="E66" s="56">
        <v>1.64</v>
      </c>
      <c r="F66" s="56">
        <v>1642.33</v>
      </c>
      <c r="G66" s="41">
        <v>234500</v>
      </c>
      <c r="H66" s="28">
        <v>64000</v>
      </c>
      <c r="I66" s="42">
        <v>240000</v>
      </c>
      <c r="J66" s="35"/>
      <c r="K66" s="38">
        <v>60</v>
      </c>
      <c r="L66" s="15">
        <v>45657</v>
      </c>
      <c r="M66" s="49">
        <f t="shared" si="27"/>
        <v>3.3919338159255442E-2</v>
      </c>
      <c r="N66" s="49">
        <f t="shared" si="5"/>
        <v>-2.6451612903225816E-2</v>
      </c>
      <c r="O66" s="49">
        <f t="shared" si="6"/>
        <v>-1.2048192771084348E-2</v>
      </c>
      <c r="P66" s="49">
        <f t="shared" si="23"/>
        <v>3.0132535486015695E-2</v>
      </c>
      <c r="Q66" s="35"/>
      <c r="R66" s="35"/>
      <c r="S66" s="35"/>
      <c r="T66" s="35"/>
      <c r="U66" s="35"/>
      <c r="V66" s="35"/>
      <c r="W66" s="35"/>
      <c r="X66" s="39">
        <v>60</v>
      </c>
      <c r="Y66" s="23">
        <v>45657</v>
      </c>
      <c r="Z66" s="44">
        <f t="shared" si="7"/>
        <v>0.68013605442176883</v>
      </c>
      <c r="AA66" s="44">
        <f t="shared" si="8"/>
        <v>0.61466395112016259</v>
      </c>
      <c r="AB66" s="44">
        <f t="shared" si="9"/>
        <v>2.5426356589147261</v>
      </c>
      <c r="AC66" s="44">
        <f t="shared" si="10"/>
        <v>1.0337181197915368</v>
      </c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6">
        <v>60</v>
      </c>
      <c r="AP66" s="27">
        <v>45657</v>
      </c>
      <c r="AQ66" s="29">
        <f t="shared" si="24"/>
        <v>23445310</v>
      </c>
      <c r="AR66" s="29">
        <f t="shared" si="25"/>
        <v>1931520</v>
      </c>
      <c r="AS66" s="29">
        <f t="shared" si="26"/>
        <v>393600</v>
      </c>
      <c r="AT66" s="45"/>
      <c r="AU66" s="51"/>
      <c r="AV66" s="35"/>
      <c r="AW66" s="35"/>
      <c r="AX66" s="35"/>
      <c r="AY66" s="45"/>
    </row>
    <row r="67" spans="1:51" ht="16" x14ac:dyDescent="0.2">
      <c r="A67" s="51"/>
      <c r="B67" s="51"/>
      <c r="C67" s="53"/>
      <c r="D67" s="53"/>
      <c r="E67" s="53"/>
      <c r="F67" s="51"/>
      <c r="G67" s="51"/>
      <c r="H67" s="51"/>
      <c r="I67" s="51"/>
      <c r="J67" s="35"/>
      <c r="K67" s="35"/>
      <c r="L67" s="51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51"/>
      <c r="Z67" s="35"/>
      <c r="AA67" s="35"/>
      <c r="AB67" s="35"/>
      <c r="AC67" s="35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35"/>
      <c r="AR67" s="35"/>
      <c r="AS67" s="35"/>
      <c r="AT67" s="35"/>
      <c r="AU67" s="51"/>
      <c r="AV67" s="35"/>
      <c r="AW67" s="35"/>
      <c r="AX67" s="35"/>
      <c r="AY67" s="35"/>
    </row>
  </sheetData>
  <mergeCells count="11">
    <mergeCell ref="AZ38:BF38"/>
    <mergeCell ref="R1:V1"/>
    <mergeCell ref="C1:I1"/>
    <mergeCell ref="M1:P1"/>
    <mergeCell ref="AZ1:BF1"/>
    <mergeCell ref="AZ2:BF2"/>
    <mergeCell ref="Z1:AC1"/>
    <mergeCell ref="AQ1:AS1"/>
    <mergeCell ref="AU1:AX1"/>
    <mergeCell ref="AZ20:BF20"/>
    <mergeCell ref="AE4:A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Members Name &amp; Student ID</vt:lpstr>
      <vt:lpstr>Data and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Sheryl Khoo</cp:lastModifiedBy>
  <cp:revision/>
  <dcterms:created xsi:type="dcterms:W3CDTF">2022-07-16T21:02:20Z</dcterms:created>
  <dcterms:modified xsi:type="dcterms:W3CDTF">2025-05-23T13:47:19Z</dcterms:modified>
  <cp:category/>
  <cp:contentStatus/>
</cp:coreProperties>
</file>